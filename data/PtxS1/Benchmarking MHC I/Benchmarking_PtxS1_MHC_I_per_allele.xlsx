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ble_set_per_allele" sheetId="1" state="visible" r:id="rId1"/>
    <sheet xmlns:r="http://schemas.openxmlformats.org/officeDocument/2006/relationships" name="Full_reference_per_allele" sheetId="2" state="visible" r:id="rId2"/>
    <sheet xmlns:r="http://schemas.openxmlformats.org/officeDocument/2006/relationships" name="Alleles_expected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Input_fi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top" wrapText="1"/>
    </xf>
    <xf numFmtId="2" fontId="0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Evaluable_per_allele_I_PtxS1" displayName="Evaluable_per_allele_I_PtxS1" ref="A2:F26" headerRowCount="1">
  <autoFilter ref="A2:F26"/>
  <tableColumns count="6">
    <tableColumn id="1" name="Tool"/>
    <tableColumn id="2" name="Allele"/>
    <tableColumn id="3" name="Experimental_pairs"/>
    <tableColumn id="4" name="RM per allele"/>
    <tableColumn id="5" name="UP per allele"/>
    <tableColumn id="6" name="Recovery rate per allele 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ull_reference_per_allele_I_PtxS1" displayName="Full_reference_per_allele_I_PtxS1" ref="A2:F26" headerRowCount="1">
  <autoFilter ref="A2:F26"/>
  <tableColumns count="6">
    <tableColumn id="1" name="Tool"/>
    <tableColumn id="2" name="Allele"/>
    <tableColumn id="3" name="Experimental_pairs"/>
    <tableColumn id="4" name="RM per allele"/>
    <tableColumn id="5" name="UP per allele"/>
    <tableColumn id="6" name="Recovery rate per allele (%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lleles_expected_I_PtxS1" displayName="Alleles_expected_I_PtxS1" ref="A2:C14" headerRowCount="1">
  <autoFilter ref="A2:C14"/>
  <tableColumns count="3">
    <tableColumn id="1" name="Set"/>
    <tableColumn id="2" name="Allele"/>
    <tableColumn id="3" name="Experimental_pai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alidation_I_PtxS1" displayName="Validation_I_PtxS1" ref="A2:F10" headerRowCount="1">
  <autoFilter ref="A2:F10"/>
  <tableColumns count="6">
    <tableColumn id="1" name="Set"/>
    <tableColumn id="2" name="Antigen"/>
    <tableColumn id="3" name="Tool"/>
    <tableColumn id="4" name="Expected_unique_alleles_in_dataset"/>
    <tableColumn id="5" name="Rows_for_tool_in_output"/>
    <tableColumn id="6" name="Allele_count_O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put_files_I_PtxS1" displayName="Input_files_I_PtxS1" ref="A2:L15" headerRowCount="1">
  <autoFilter ref="A2:L15"/>
  <tableColumns count="12">
    <tableColumn id="1" name="Antigen"/>
    <tableColumn id="2" name="Kind"/>
    <tableColumn id="3" name="Path"/>
    <tableColumn id="4" name="Sheet"/>
    <tableColumn id="5" name="Allele_col"/>
    <tableColumn id="6" name="Peptide_col"/>
    <tableColumn id="7" name="Status"/>
    <tableColumn id="8" name="Pairs_after_file_dedup"/>
    <tableColumn id="9" name="Unique_alleles"/>
    <tableColumn id="10" name="Message"/>
    <tableColumn id="11" name="Tool"/>
    <tableColumn id="12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5" customWidth="1" min="5" max="5"/>
    <col width="25" customWidth="1" min="6" max="6"/>
  </cols>
  <sheetData>
    <row r="1">
      <c r="A1" s="2" t="inlineStr">
        <is>
          <t>Evaluable set per allele — PtxS1 — MHC I</t>
        </is>
      </c>
    </row>
    <row r="2">
      <c r="A2" s="3" t="inlineStr">
        <is>
          <t>Tool</t>
        </is>
      </c>
      <c r="B2" s="3" t="inlineStr">
        <is>
          <t>Allele</t>
        </is>
      </c>
      <c r="C2" s="3" t="inlineStr">
        <is>
          <t>Experimental_pairs</t>
        </is>
      </c>
      <c r="D2" s="3" t="inlineStr">
        <is>
          <t>RM per allele</t>
        </is>
      </c>
      <c r="E2" s="3" t="inlineStr">
        <is>
          <t>UP per allele</t>
        </is>
      </c>
      <c r="F2" s="3" t="inlineStr">
        <is>
          <t>Recovery rate per allele (%)</t>
        </is>
      </c>
    </row>
    <row r="3">
      <c r="A3" s="4" t="inlineStr">
        <is>
          <t>IEDB I</t>
        </is>
      </c>
      <c r="B3" s="4" t="inlineStr">
        <is>
          <t>A*02:01</t>
        </is>
      </c>
      <c r="C3" s="5" t="n">
        <v>2</v>
      </c>
      <c r="D3" s="5" t="n">
        <v>2</v>
      </c>
      <c r="E3" s="5" t="n">
        <v>0</v>
      </c>
      <c r="F3" s="6">
        <f>IF((D3+E3)=0,"",D3/(D3+E3)*100)</f>
        <v/>
      </c>
    </row>
    <row r="4">
      <c r="A4" s="4" t="inlineStr">
        <is>
          <t>IEDB I</t>
        </is>
      </c>
      <c r="B4" s="4" t="inlineStr">
        <is>
          <t>B*07:02</t>
        </is>
      </c>
      <c r="C4" s="5" t="n">
        <v>1</v>
      </c>
      <c r="D4" s="5" t="n">
        <v>1</v>
      </c>
      <c r="E4" s="5" t="n">
        <v>0</v>
      </c>
      <c r="F4" s="6">
        <f>IF((D4+E4)=0,"",D4/(D4+E4)*100)</f>
        <v/>
      </c>
    </row>
    <row r="5">
      <c r="A5" s="4" t="inlineStr">
        <is>
          <t>IEDB I</t>
        </is>
      </c>
      <c r="B5" s="4" t="inlineStr">
        <is>
          <t>B*35:01</t>
        </is>
      </c>
      <c r="C5" s="5" t="n">
        <v>3</v>
      </c>
      <c r="D5" s="5" t="n">
        <v>3</v>
      </c>
      <c r="E5" s="5" t="n">
        <v>0</v>
      </c>
      <c r="F5" s="6">
        <f>IF((D5+E5)=0,"",D5/(D5+E5)*100)</f>
        <v/>
      </c>
    </row>
    <row r="6">
      <c r="A6" s="4" t="inlineStr">
        <is>
          <t>IEDB I</t>
        </is>
      </c>
      <c r="B6" s="4" t="inlineStr">
        <is>
          <t>B*44:03</t>
        </is>
      </c>
      <c r="C6" s="5" t="n">
        <v>1</v>
      </c>
      <c r="D6" s="5" t="n">
        <v>1</v>
      </c>
      <c r="E6" s="5" t="n">
        <v>0</v>
      </c>
      <c r="F6" s="6">
        <f>IF((D6+E6)=0,"",D6/(D6+E6)*100)</f>
        <v/>
      </c>
    </row>
    <row r="7">
      <c r="A7" s="4" t="inlineStr">
        <is>
          <t>IEDB I</t>
        </is>
      </c>
      <c r="B7" s="4" t="inlineStr">
        <is>
          <t>B*53:01</t>
        </is>
      </c>
      <c r="C7" s="5" t="n">
        <v>1</v>
      </c>
      <c r="D7" s="5" t="n">
        <v>1</v>
      </c>
      <c r="E7" s="5" t="n">
        <v>0</v>
      </c>
      <c r="F7" s="6">
        <f>IF((D7+E7)=0,"",D7/(D7+E7)*100)</f>
        <v/>
      </c>
    </row>
    <row r="8">
      <c r="A8" s="4" t="inlineStr">
        <is>
          <t>IEDB I</t>
        </is>
      </c>
      <c r="B8" s="4" t="inlineStr">
        <is>
          <t>B*57:01</t>
        </is>
      </c>
      <c r="C8" s="5" t="n">
        <v>2</v>
      </c>
      <c r="D8" s="5" t="n">
        <v>1</v>
      </c>
      <c r="E8" s="5" t="n">
        <v>1</v>
      </c>
      <c r="F8" s="6">
        <f>IF((D8+E8)=0,"",D8/(D8+E8)*100)</f>
        <v/>
      </c>
    </row>
    <row r="9">
      <c r="A9" s="4" t="inlineStr">
        <is>
          <t>NetCTL</t>
        </is>
      </c>
      <c r="B9" s="4" t="inlineStr">
        <is>
          <t>A*02:01</t>
        </is>
      </c>
      <c r="C9" s="5" t="n">
        <v>2</v>
      </c>
      <c r="D9" s="5" t="n">
        <v>2</v>
      </c>
      <c r="E9" s="5" t="n">
        <v>0</v>
      </c>
      <c r="F9" s="6">
        <f>IF((D9+E9)=0,"",D9/(D9+E9)*100)</f>
        <v/>
      </c>
    </row>
    <row r="10">
      <c r="A10" s="4" t="inlineStr">
        <is>
          <t>NetCTL</t>
        </is>
      </c>
      <c r="B10" s="4" t="inlineStr">
        <is>
          <t>B*07:02</t>
        </is>
      </c>
      <c r="C10" s="5" t="n">
        <v>1</v>
      </c>
      <c r="D10" s="5" t="n">
        <v>1</v>
      </c>
      <c r="E10" s="5" t="n">
        <v>0</v>
      </c>
      <c r="F10" s="6">
        <f>IF((D10+E10)=0,"",D10/(D10+E10)*100)</f>
        <v/>
      </c>
    </row>
    <row r="11">
      <c r="A11" s="4" t="inlineStr">
        <is>
          <t>NetCTL</t>
        </is>
      </c>
      <c r="B11" s="4" t="inlineStr">
        <is>
          <t>B*35:01</t>
        </is>
      </c>
      <c r="C11" s="5" t="n">
        <v>3</v>
      </c>
      <c r="D11" s="5" t="n">
        <v>0</v>
      </c>
      <c r="E11" s="5" t="n">
        <v>3</v>
      </c>
      <c r="F11" s="6">
        <f>IF((D11+E11)=0,"",D11/(D11+E11)*100)</f>
        <v/>
      </c>
    </row>
    <row r="12">
      <c r="A12" s="4" t="inlineStr">
        <is>
          <t>NetCTL</t>
        </is>
      </c>
      <c r="B12" s="4" t="inlineStr">
        <is>
          <t>B*44:03</t>
        </is>
      </c>
      <c r="C12" s="5" t="n">
        <v>1</v>
      </c>
      <c r="D12" s="5" t="n">
        <v>1</v>
      </c>
      <c r="E12" s="5" t="n">
        <v>0</v>
      </c>
      <c r="F12" s="6">
        <f>IF((D12+E12)=0,"",D12/(D12+E12)*100)</f>
        <v/>
      </c>
    </row>
    <row r="13">
      <c r="A13" s="4" t="inlineStr">
        <is>
          <t>NetCTL</t>
        </is>
      </c>
      <c r="B13" s="4" t="inlineStr">
        <is>
          <t>B*53:01</t>
        </is>
      </c>
      <c r="C13" s="5" t="n">
        <v>1</v>
      </c>
      <c r="D13" s="5" t="n">
        <v>0</v>
      </c>
      <c r="E13" s="5" t="n">
        <v>1</v>
      </c>
      <c r="F13" s="6">
        <f>IF((D13+E13)=0,"",D13/(D13+E13)*100)</f>
        <v/>
      </c>
    </row>
    <row r="14">
      <c r="A14" s="4" t="inlineStr">
        <is>
          <t>NetCTL</t>
        </is>
      </c>
      <c r="B14" s="4" t="inlineStr">
        <is>
          <t>B*57:01</t>
        </is>
      </c>
      <c r="C14" s="5" t="n">
        <v>2</v>
      </c>
      <c r="D14" s="5" t="n">
        <v>1</v>
      </c>
      <c r="E14" s="5" t="n">
        <v>1</v>
      </c>
      <c r="F14" s="6">
        <f>IF((D14+E14)=0,"",D14/(D14+E14)*100)</f>
        <v/>
      </c>
    </row>
    <row r="15">
      <c r="A15" s="4" t="inlineStr">
        <is>
          <t>NetMHC</t>
        </is>
      </c>
      <c r="B15" s="4" t="inlineStr">
        <is>
          <t>A*02:01</t>
        </is>
      </c>
      <c r="C15" s="5" t="n">
        <v>2</v>
      </c>
      <c r="D15" s="5" t="n">
        <v>2</v>
      </c>
      <c r="E15" s="5" t="n">
        <v>0</v>
      </c>
      <c r="F15" s="6">
        <f>IF((D15+E15)=0,"",D15/(D15+E15)*100)</f>
        <v/>
      </c>
    </row>
    <row r="16">
      <c r="A16" s="4" t="inlineStr">
        <is>
          <t>NetMHC</t>
        </is>
      </c>
      <c r="B16" s="4" t="inlineStr">
        <is>
          <t>B*07:02</t>
        </is>
      </c>
      <c r="C16" s="5" t="n">
        <v>1</v>
      </c>
      <c r="D16" s="5" t="n">
        <v>1</v>
      </c>
      <c r="E16" s="5" t="n">
        <v>0</v>
      </c>
      <c r="F16" s="6">
        <f>IF((D16+E16)=0,"",D16/(D16+E16)*100)</f>
        <v/>
      </c>
    </row>
    <row r="17">
      <c r="A17" s="4" t="inlineStr">
        <is>
          <t>NetMHC</t>
        </is>
      </c>
      <c r="B17" s="4" t="inlineStr">
        <is>
          <t>B*35:01</t>
        </is>
      </c>
      <c r="C17" s="5" t="n">
        <v>3</v>
      </c>
      <c r="D17" s="5" t="n">
        <v>3</v>
      </c>
      <c r="E17" s="5" t="n">
        <v>0</v>
      </c>
      <c r="F17" s="6">
        <f>IF((D17+E17)=0,"",D17/(D17+E17)*100)</f>
        <v/>
      </c>
    </row>
    <row r="18">
      <c r="A18" s="4" t="inlineStr">
        <is>
          <t>NetMHC</t>
        </is>
      </c>
      <c r="B18" s="4" t="inlineStr">
        <is>
          <t>B*44:03</t>
        </is>
      </c>
      <c r="C18" s="5" t="n">
        <v>1</v>
      </c>
      <c r="D18" s="5" t="n">
        <v>1</v>
      </c>
      <c r="E18" s="5" t="n">
        <v>0</v>
      </c>
      <c r="F18" s="6">
        <f>IF((D18+E18)=0,"",D18/(D18+E18)*100)</f>
        <v/>
      </c>
    </row>
    <row r="19">
      <c r="A19" s="4" t="inlineStr">
        <is>
          <t>NetMHC</t>
        </is>
      </c>
      <c r="B19" s="4" t="inlineStr">
        <is>
          <t>B*53:01</t>
        </is>
      </c>
      <c r="C19" s="5" t="n">
        <v>1</v>
      </c>
      <c r="D19" s="5" t="n">
        <v>1</v>
      </c>
      <c r="E19" s="5" t="n">
        <v>0</v>
      </c>
      <c r="F19" s="6">
        <f>IF((D19+E19)=0,"",D19/(D19+E19)*100)</f>
        <v/>
      </c>
    </row>
    <row r="20">
      <c r="A20" s="4" t="inlineStr">
        <is>
          <t>NetMHC</t>
        </is>
      </c>
      <c r="B20" s="4" t="inlineStr">
        <is>
          <t>B*57:01</t>
        </is>
      </c>
      <c r="C20" s="5" t="n">
        <v>2</v>
      </c>
      <c r="D20" s="5" t="n">
        <v>2</v>
      </c>
      <c r="E20" s="5" t="n">
        <v>0</v>
      </c>
      <c r="F20" s="6">
        <f>IF((D20+E20)=0,"",D20/(D20+E20)*100)</f>
        <v/>
      </c>
    </row>
    <row r="21">
      <c r="A21" s="4" t="inlineStr">
        <is>
          <t>NetMHCpan</t>
        </is>
      </c>
      <c r="B21" s="4" t="inlineStr">
        <is>
          <t>A*02:01</t>
        </is>
      </c>
      <c r="C21" s="5" t="n">
        <v>2</v>
      </c>
      <c r="D21" s="5" t="n">
        <v>1</v>
      </c>
      <c r="E21" s="5" t="n">
        <v>1</v>
      </c>
      <c r="F21" s="6">
        <f>IF((D21+E21)=0,"",D21/(D21+E21)*100)</f>
        <v/>
      </c>
    </row>
    <row r="22">
      <c r="A22" s="4" t="inlineStr">
        <is>
          <t>NetMHCpan</t>
        </is>
      </c>
      <c r="B22" s="4" t="inlineStr">
        <is>
          <t>B*07:02</t>
        </is>
      </c>
      <c r="C22" s="5" t="n">
        <v>1</v>
      </c>
      <c r="D22" s="5" t="n">
        <v>1</v>
      </c>
      <c r="E22" s="5" t="n">
        <v>0</v>
      </c>
      <c r="F22" s="6">
        <f>IF((D22+E22)=0,"",D22/(D22+E22)*100)</f>
        <v/>
      </c>
    </row>
    <row r="23">
      <c r="A23" s="4" t="inlineStr">
        <is>
          <t>NetMHCpan</t>
        </is>
      </c>
      <c r="B23" s="4" t="inlineStr">
        <is>
          <t>B*35:01</t>
        </is>
      </c>
      <c r="C23" s="5" t="n">
        <v>3</v>
      </c>
      <c r="D23" s="5" t="n">
        <v>2</v>
      </c>
      <c r="E23" s="5" t="n">
        <v>1</v>
      </c>
      <c r="F23" s="6">
        <f>IF((D23+E23)=0,"",D23/(D23+E23)*100)</f>
        <v/>
      </c>
    </row>
    <row r="24">
      <c r="A24" s="4" t="inlineStr">
        <is>
          <t>NetMHCpan</t>
        </is>
      </c>
      <c r="B24" s="4" t="inlineStr">
        <is>
          <t>B*44:03</t>
        </is>
      </c>
      <c r="C24" s="5" t="n">
        <v>1</v>
      </c>
      <c r="D24" s="5" t="n">
        <v>1</v>
      </c>
      <c r="E24" s="5" t="n">
        <v>0</v>
      </c>
      <c r="F24" s="6">
        <f>IF((D24+E24)=0,"",D24/(D24+E24)*100)</f>
        <v/>
      </c>
    </row>
    <row r="25">
      <c r="A25" s="4" t="inlineStr">
        <is>
          <t>NetMHCpan</t>
        </is>
      </c>
      <c r="B25" s="4" t="inlineStr">
        <is>
          <t>B*53:01</t>
        </is>
      </c>
      <c r="C25" s="5" t="n">
        <v>1</v>
      </c>
      <c r="D25" s="5" t="n">
        <v>1</v>
      </c>
      <c r="E25" s="5" t="n">
        <v>0</v>
      </c>
      <c r="F25" s="6">
        <f>IF((D25+E25)=0,"",D25/(D25+E25)*100)</f>
        <v/>
      </c>
    </row>
    <row r="26">
      <c r="A26" s="4" t="inlineStr">
        <is>
          <t>NetMHCpan</t>
        </is>
      </c>
      <c r="B26" s="4" t="inlineStr">
        <is>
          <t>B*57:01</t>
        </is>
      </c>
      <c r="C26" s="5" t="n">
        <v>2</v>
      </c>
      <c r="D26" s="5" t="n">
        <v>2</v>
      </c>
      <c r="E26" s="5" t="n">
        <v>0</v>
      </c>
      <c r="F26" s="6">
        <f>IF((D26+E26)=0,"",D26/(D26+E26)*100)</f>
        <v/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5" customWidth="1" min="5" max="5"/>
    <col width="25" customWidth="1" min="6" max="6"/>
  </cols>
  <sheetData>
    <row r="1">
      <c r="A1" s="2" t="inlineStr">
        <is>
          <t>Full reference set per allele — PtxS1 — MHC I</t>
        </is>
      </c>
    </row>
    <row r="2">
      <c r="A2" s="3" t="inlineStr">
        <is>
          <t>Tool</t>
        </is>
      </c>
      <c r="B2" s="3" t="inlineStr">
        <is>
          <t>Allele</t>
        </is>
      </c>
      <c r="C2" s="3" t="inlineStr">
        <is>
          <t>Experimental_pairs</t>
        </is>
      </c>
      <c r="D2" s="3" t="inlineStr">
        <is>
          <t>RM per allele</t>
        </is>
      </c>
      <c r="E2" s="3" t="inlineStr">
        <is>
          <t>UP per allele</t>
        </is>
      </c>
      <c r="F2" s="3" t="inlineStr">
        <is>
          <t>Recovery rate per allele (%)</t>
        </is>
      </c>
    </row>
    <row r="3">
      <c r="A3" s="4" t="inlineStr">
        <is>
          <t>IEDB I</t>
        </is>
      </c>
      <c r="B3" s="4" t="inlineStr">
        <is>
          <t>A*02:01</t>
        </is>
      </c>
      <c r="C3" s="5" t="n">
        <v>2</v>
      </c>
      <c r="D3" s="5" t="n">
        <v>2</v>
      </c>
      <c r="E3" s="5" t="n">
        <v>0</v>
      </c>
      <c r="F3" s="6">
        <f>IF((D3+E3)=0,"",D3/(D3+E3)*100)</f>
        <v/>
      </c>
    </row>
    <row r="4">
      <c r="A4" s="4" t="inlineStr">
        <is>
          <t>IEDB I</t>
        </is>
      </c>
      <c r="B4" s="4" t="inlineStr">
        <is>
          <t>B*07:02</t>
        </is>
      </c>
      <c r="C4" s="5" t="n">
        <v>1</v>
      </c>
      <c r="D4" s="5" t="n">
        <v>1</v>
      </c>
      <c r="E4" s="5" t="n">
        <v>0</v>
      </c>
      <c r="F4" s="6">
        <f>IF((D4+E4)=0,"",D4/(D4+E4)*100)</f>
        <v/>
      </c>
    </row>
    <row r="5">
      <c r="A5" s="4" t="inlineStr">
        <is>
          <t>IEDB I</t>
        </is>
      </c>
      <c r="B5" s="4" t="inlineStr">
        <is>
          <t>B*35:01</t>
        </is>
      </c>
      <c r="C5" s="5" t="n">
        <v>3</v>
      </c>
      <c r="D5" s="5" t="n">
        <v>3</v>
      </c>
      <c r="E5" s="5" t="n">
        <v>0</v>
      </c>
      <c r="F5" s="6">
        <f>IF((D5+E5)=0,"",D5/(D5+E5)*100)</f>
        <v/>
      </c>
    </row>
    <row r="6">
      <c r="A6" s="4" t="inlineStr">
        <is>
          <t>IEDB I</t>
        </is>
      </c>
      <c r="B6" s="4" t="inlineStr">
        <is>
          <t>B*44:03</t>
        </is>
      </c>
      <c r="C6" s="5" t="n">
        <v>1</v>
      </c>
      <c r="D6" s="5" t="n">
        <v>1</v>
      </c>
      <c r="E6" s="5" t="n">
        <v>0</v>
      </c>
      <c r="F6" s="6">
        <f>IF((D6+E6)=0,"",D6/(D6+E6)*100)</f>
        <v/>
      </c>
    </row>
    <row r="7">
      <c r="A7" s="4" t="inlineStr">
        <is>
          <t>IEDB I</t>
        </is>
      </c>
      <c r="B7" s="4" t="inlineStr">
        <is>
          <t>B*53:01</t>
        </is>
      </c>
      <c r="C7" s="5" t="n">
        <v>1</v>
      </c>
      <c r="D7" s="5" t="n">
        <v>1</v>
      </c>
      <c r="E7" s="5" t="n">
        <v>0</v>
      </c>
      <c r="F7" s="6">
        <f>IF((D7+E7)=0,"",D7/(D7+E7)*100)</f>
        <v/>
      </c>
    </row>
    <row r="8">
      <c r="A8" s="4" t="inlineStr">
        <is>
          <t>IEDB I</t>
        </is>
      </c>
      <c r="B8" s="4" t="inlineStr">
        <is>
          <t>B*57:01</t>
        </is>
      </c>
      <c r="C8" s="5" t="n">
        <v>2</v>
      </c>
      <c r="D8" s="5" t="n">
        <v>1</v>
      </c>
      <c r="E8" s="5" t="n">
        <v>1</v>
      </c>
      <c r="F8" s="6">
        <f>IF((D8+E8)=0,"",D8/(D8+E8)*100)</f>
        <v/>
      </c>
    </row>
    <row r="9">
      <c r="A9" s="4" t="inlineStr">
        <is>
          <t>NetCTL</t>
        </is>
      </c>
      <c r="B9" s="4" t="inlineStr">
        <is>
          <t>A*02:01</t>
        </is>
      </c>
      <c r="C9" s="5" t="n">
        <v>2</v>
      </c>
      <c r="D9" s="5" t="n">
        <v>2</v>
      </c>
      <c r="E9" s="5" t="n">
        <v>0</v>
      </c>
      <c r="F9" s="6">
        <f>IF((D9+E9)=0,"",D9/(D9+E9)*100)</f>
        <v/>
      </c>
    </row>
    <row r="10">
      <c r="A10" s="4" t="inlineStr">
        <is>
          <t>NetCTL</t>
        </is>
      </c>
      <c r="B10" s="4" t="inlineStr">
        <is>
          <t>B*07:02</t>
        </is>
      </c>
      <c r="C10" s="5" t="n">
        <v>1</v>
      </c>
      <c r="D10" s="5" t="n">
        <v>1</v>
      </c>
      <c r="E10" s="5" t="n">
        <v>0</v>
      </c>
      <c r="F10" s="6">
        <f>IF((D10+E10)=0,"",D10/(D10+E10)*100)</f>
        <v/>
      </c>
    </row>
    <row r="11">
      <c r="A11" s="4" t="inlineStr">
        <is>
          <t>NetCTL</t>
        </is>
      </c>
      <c r="B11" s="4" t="inlineStr">
        <is>
          <t>B*35:01</t>
        </is>
      </c>
      <c r="C11" s="5" t="n">
        <v>3</v>
      </c>
      <c r="D11" s="5" t="n">
        <v>0</v>
      </c>
      <c r="E11" s="5" t="n">
        <v>3</v>
      </c>
      <c r="F11" s="6">
        <f>IF((D11+E11)=0,"",D11/(D11+E11)*100)</f>
        <v/>
      </c>
    </row>
    <row r="12">
      <c r="A12" s="4" t="inlineStr">
        <is>
          <t>NetCTL</t>
        </is>
      </c>
      <c r="B12" s="4" t="inlineStr">
        <is>
          <t>B*44:03</t>
        </is>
      </c>
      <c r="C12" s="5" t="n">
        <v>1</v>
      </c>
      <c r="D12" s="5" t="n">
        <v>1</v>
      </c>
      <c r="E12" s="5" t="n">
        <v>0</v>
      </c>
      <c r="F12" s="6">
        <f>IF((D12+E12)=0,"",D12/(D12+E12)*100)</f>
        <v/>
      </c>
    </row>
    <row r="13">
      <c r="A13" s="4" t="inlineStr">
        <is>
          <t>NetCTL</t>
        </is>
      </c>
      <c r="B13" s="4" t="inlineStr">
        <is>
          <t>B*53:01</t>
        </is>
      </c>
      <c r="C13" s="5" t="n">
        <v>1</v>
      </c>
      <c r="D13" s="5" t="n">
        <v>0</v>
      </c>
      <c r="E13" s="5" t="n">
        <v>1</v>
      </c>
      <c r="F13" s="6">
        <f>IF((D13+E13)=0,"",D13/(D13+E13)*100)</f>
        <v/>
      </c>
    </row>
    <row r="14">
      <c r="A14" s="4" t="inlineStr">
        <is>
          <t>NetCTL</t>
        </is>
      </c>
      <c r="B14" s="4" t="inlineStr">
        <is>
          <t>B*57:01</t>
        </is>
      </c>
      <c r="C14" s="5" t="n">
        <v>2</v>
      </c>
      <c r="D14" s="5" t="n">
        <v>1</v>
      </c>
      <c r="E14" s="5" t="n">
        <v>1</v>
      </c>
      <c r="F14" s="6">
        <f>IF((D14+E14)=0,"",D14/(D14+E14)*100)</f>
        <v/>
      </c>
    </row>
    <row r="15">
      <c r="A15" s="4" t="inlineStr">
        <is>
          <t>NetMHC</t>
        </is>
      </c>
      <c r="B15" s="4" t="inlineStr">
        <is>
          <t>A*02:01</t>
        </is>
      </c>
      <c r="C15" s="5" t="n">
        <v>2</v>
      </c>
      <c r="D15" s="5" t="n">
        <v>2</v>
      </c>
      <c r="E15" s="5" t="n">
        <v>0</v>
      </c>
      <c r="F15" s="6">
        <f>IF((D15+E15)=0,"",D15/(D15+E15)*100)</f>
        <v/>
      </c>
    </row>
    <row r="16">
      <c r="A16" s="4" t="inlineStr">
        <is>
          <t>NetMHC</t>
        </is>
      </c>
      <c r="B16" s="4" t="inlineStr">
        <is>
          <t>B*07:02</t>
        </is>
      </c>
      <c r="C16" s="5" t="n">
        <v>1</v>
      </c>
      <c r="D16" s="5" t="n">
        <v>1</v>
      </c>
      <c r="E16" s="5" t="n">
        <v>0</v>
      </c>
      <c r="F16" s="6">
        <f>IF((D16+E16)=0,"",D16/(D16+E16)*100)</f>
        <v/>
      </c>
    </row>
    <row r="17">
      <c r="A17" s="4" t="inlineStr">
        <is>
          <t>NetMHC</t>
        </is>
      </c>
      <c r="B17" s="4" t="inlineStr">
        <is>
          <t>B*35:01</t>
        </is>
      </c>
      <c r="C17" s="5" t="n">
        <v>3</v>
      </c>
      <c r="D17" s="5" t="n">
        <v>3</v>
      </c>
      <c r="E17" s="5" t="n">
        <v>0</v>
      </c>
      <c r="F17" s="6">
        <f>IF((D17+E17)=0,"",D17/(D17+E17)*100)</f>
        <v/>
      </c>
    </row>
    <row r="18">
      <c r="A18" s="4" t="inlineStr">
        <is>
          <t>NetMHC</t>
        </is>
      </c>
      <c r="B18" s="4" t="inlineStr">
        <is>
          <t>B*44:03</t>
        </is>
      </c>
      <c r="C18" s="5" t="n">
        <v>1</v>
      </c>
      <c r="D18" s="5" t="n">
        <v>1</v>
      </c>
      <c r="E18" s="5" t="n">
        <v>0</v>
      </c>
      <c r="F18" s="6">
        <f>IF((D18+E18)=0,"",D18/(D18+E18)*100)</f>
        <v/>
      </c>
    </row>
    <row r="19">
      <c r="A19" s="4" t="inlineStr">
        <is>
          <t>NetMHC</t>
        </is>
      </c>
      <c r="B19" s="4" t="inlineStr">
        <is>
          <t>B*53:01</t>
        </is>
      </c>
      <c r="C19" s="5" t="n">
        <v>1</v>
      </c>
      <c r="D19" s="5" t="n">
        <v>1</v>
      </c>
      <c r="E19" s="5" t="n">
        <v>0</v>
      </c>
      <c r="F19" s="6">
        <f>IF((D19+E19)=0,"",D19/(D19+E19)*100)</f>
        <v/>
      </c>
    </row>
    <row r="20">
      <c r="A20" s="4" t="inlineStr">
        <is>
          <t>NetMHC</t>
        </is>
      </c>
      <c r="B20" s="4" t="inlineStr">
        <is>
          <t>B*57:01</t>
        </is>
      </c>
      <c r="C20" s="5" t="n">
        <v>2</v>
      </c>
      <c r="D20" s="5" t="n">
        <v>2</v>
      </c>
      <c r="E20" s="5" t="n">
        <v>0</v>
      </c>
      <c r="F20" s="6">
        <f>IF((D20+E20)=0,"",D20/(D20+E20)*100)</f>
        <v/>
      </c>
    </row>
    <row r="21">
      <c r="A21" s="4" t="inlineStr">
        <is>
          <t>NetMHCpan</t>
        </is>
      </c>
      <c r="B21" s="4" t="inlineStr">
        <is>
          <t>A*02:01</t>
        </is>
      </c>
      <c r="C21" s="5" t="n">
        <v>2</v>
      </c>
      <c r="D21" s="5" t="n">
        <v>1</v>
      </c>
      <c r="E21" s="5" t="n">
        <v>1</v>
      </c>
      <c r="F21" s="6">
        <f>IF((D21+E21)=0,"",D21/(D21+E21)*100)</f>
        <v/>
      </c>
    </row>
    <row r="22">
      <c r="A22" s="4" t="inlineStr">
        <is>
          <t>NetMHCpan</t>
        </is>
      </c>
      <c r="B22" s="4" t="inlineStr">
        <is>
          <t>B*07:02</t>
        </is>
      </c>
      <c r="C22" s="5" t="n">
        <v>1</v>
      </c>
      <c r="D22" s="5" t="n">
        <v>1</v>
      </c>
      <c r="E22" s="5" t="n">
        <v>0</v>
      </c>
      <c r="F22" s="6">
        <f>IF((D22+E22)=0,"",D22/(D22+E22)*100)</f>
        <v/>
      </c>
    </row>
    <row r="23">
      <c r="A23" s="4" t="inlineStr">
        <is>
          <t>NetMHCpan</t>
        </is>
      </c>
      <c r="B23" s="4" t="inlineStr">
        <is>
          <t>B*35:01</t>
        </is>
      </c>
      <c r="C23" s="5" t="n">
        <v>3</v>
      </c>
      <c r="D23" s="5" t="n">
        <v>2</v>
      </c>
      <c r="E23" s="5" t="n">
        <v>1</v>
      </c>
      <c r="F23" s="6">
        <f>IF((D23+E23)=0,"",D23/(D23+E23)*100)</f>
        <v/>
      </c>
    </row>
    <row r="24">
      <c r="A24" s="4" t="inlineStr">
        <is>
          <t>NetMHCpan</t>
        </is>
      </c>
      <c r="B24" s="4" t="inlineStr">
        <is>
          <t>B*44:03</t>
        </is>
      </c>
      <c r="C24" s="5" t="n">
        <v>1</v>
      </c>
      <c r="D24" s="5" t="n">
        <v>1</v>
      </c>
      <c r="E24" s="5" t="n">
        <v>0</v>
      </c>
      <c r="F24" s="6">
        <f>IF((D24+E24)=0,"",D24/(D24+E24)*100)</f>
        <v/>
      </c>
    </row>
    <row r="25">
      <c r="A25" s="4" t="inlineStr">
        <is>
          <t>NetMHCpan</t>
        </is>
      </c>
      <c r="B25" s="4" t="inlineStr">
        <is>
          <t>B*53:01</t>
        </is>
      </c>
      <c r="C25" s="5" t="n">
        <v>1</v>
      </c>
      <c r="D25" s="5" t="n">
        <v>1</v>
      </c>
      <c r="E25" s="5" t="n">
        <v>0</v>
      </c>
      <c r="F25" s="6">
        <f>IF((D25+E25)=0,"",D25/(D25+E25)*100)</f>
        <v/>
      </c>
    </row>
    <row r="26">
      <c r="A26" s="4" t="inlineStr">
        <is>
          <t>NetMHCpan</t>
        </is>
      </c>
      <c r="B26" s="4" t="inlineStr">
        <is>
          <t>B*57:01</t>
        </is>
      </c>
      <c r="C26" s="5" t="n">
        <v>2</v>
      </c>
      <c r="D26" s="5" t="n">
        <v>2</v>
      </c>
      <c r="E26" s="5" t="n">
        <v>0</v>
      </c>
      <c r="F26" s="6">
        <f>IF((D26+E26)=0,"",D26/(D26+E26)*100)</f>
        <v/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</cols>
  <sheetData>
    <row r="1">
      <c r="A1" s="2" t="inlineStr">
        <is>
          <t>Expected alleles from experimental dataset — PtxS1 — MHC I</t>
        </is>
      </c>
    </row>
    <row r="2">
      <c r="A2" s="3" t="inlineStr">
        <is>
          <t>Set</t>
        </is>
      </c>
      <c r="B2" s="3" t="inlineStr">
        <is>
          <t>Allele</t>
        </is>
      </c>
      <c r="C2" s="3" t="inlineStr">
        <is>
          <t>Experimental_pairs</t>
        </is>
      </c>
    </row>
    <row r="3">
      <c r="A3" s="4" t="inlineStr">
        <is>
          <t>Evaluable set</t>
        </is>
      </c>
      <c r="B3" s="4" t="inlineStr">
        <is>
          <t>A*02:01</t>
        </is>
      </c>
      <c r="C3" s="5" t="n">
        <v>2</v>
      </c>
    </row>
    <row r="4">
      <c r="A4" s="4" t="inlineStr">
        <is>
          <t>Evaluable set</t>
        </is>
      </c>
      <c r="B4" s="4" t="inlineStr">
        <is>
          <t>B*07:02</t>
        </is>
      </c>
      <c r="C4" s="5" t="n">
        <v>1</v>
      </c>
    </row>
    <row r="5">
      <c r="A5" s="4" t="inlineStr">
        <is>
          <t>Evaluable set</t>
        </is>
      </c>
      <c r="B5" s="4" t="inlineStr">
        <is>
          <t>B*35:01</t>
        </is>
      </c>
      <c r="C5" s="5" t="n">
        <v>3</v>
      </c>
    </row>
    <row r="6">
      <c r="A6" s="4" t="inlineStr">
        <is>
          <t>Evaluable set</t>
        </is>
      </c>
      <c r="B6" s="4" t="inlineStr">
        <is>
          <t>B*44:03</t>
        </is>
      </c>
      <c r="C6" s="5" t="n">
        <v>1</v>
      </c>
    </row>
    <row r="7">
      <c r="A7" s="4" t="inlineStr">
        <is>
          <t>Evaluable set</t>
        </is>
      </c>
      <c r="B7" s="4" t="inlineStr">
        <is>
          <t>B*53:01</t>
        </is>
      </c>
      <c r="C7" s="5" t="n">
        <v>1</v>
      </c>
    </row>
    <row r="8">
      <c r="A8" s="4" t="inlineStr">
        <is>
          <t>Evaluable set</t>
        </is>
      </c>
      <c r="B8" s="4" t="inlineStr">
        <is>
          <t>B*57:01</t>
        </is>
      </c>
      <c r="C8" s="5" t="n">
        <v>2</v>
      </c>
    </row>
    <row r="9">
      <c r="A9" s="4" t="inlineStr">
        <is>
          <t>Full reference set</t>
        </is>
      </c>
      <c r="B9" s="4" t="inlineStr">
        <is>
          <t>A*02:01</t>
        </is>
      </c>
      <c r="C9" s="5" t="n">
        <v>2</v>
      </c>
    </row>
    <row r="10">
      <c r="A10" s="4" t="inlineStr">
        <is>
          <t>Full reference set</t>
        </is>
      </c>
      <c r="B10" s="4" t="inlineStr">
        <is>
          <t>B*07:02</t>
        </is>
      </c>
      <c r="C10" s="5" t="n">
        <v>1</v>
      </c>
    </row>
    <row r="11">
      <c r="A11" s="4" t="inlineStr">
        <is>
          <t>Full reference set</t>
        </is>
      </c>
      <c r="B11" s="4" t="inlineStr">
        <is>
          <t>B*35:01</t>
        </is>
      </c>
      <c r="C11" s="5" t="n">
        <v>3</v>
      </c>
    </row>
    <row r="12">
      <c r="A12" s="4" t="inlineStr">
        <is>
          <t>Full reference set</t>
        </is>
      </c>
      <c r="B12" s="4" t="inlineStr">
        <is>
          <t>B*44:03</t>
        </is>
      </c>
      <c r="C12" s="5" t="n">
        <v>1</v>
      </c>
    </row>
    <row r="13">
      <c r="A13" s="4" t="inlineStr">
        <is>
          <t>Full reference set</t>
        </is>
      </c>
      <c r="B13" s="4" t="inlineStr">
        <is>
          <t>B*53:01</t>
        </is>
      </c>
      <c r="C13" s="5" t="n">
        <v>1</v>
      </c>
    </row>
    <row r="14">
      <c r="A14" s="4" t="inlineStr">
        <is>
          <t>Full reference set</t>
        </is>
      </c>
      <c r="B14" s="4" t="inlineStr">
        <is>
          <t>B*57:01</t>
        </is>
      </c>
      <c r="C14" s="5" t="n">
        <v>2</v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Validation — PtxS1 — MHC I</t>
        </is>
      </c>
    </row>
    <row r="2">
      <c r="A2" s="3" t="inlineStr">
        <is>
          <t>Set</t>
        </is>
      </c>
      <c r="B2" s="3" t="inlineStr">
        <is>
          <t>Antigen</t>
        </is>
      </c>
      <c r="C2" s="3" t="inlineStr">
        <is>
          <t>Tool</t>
        </is>
      </c>
      <c r="D2" s="3" t="inlineStr">
        <is>
          <t>Expected_unique_alleles_in_dataset</t>
        </is>
      </c>
      <c r="E2" s="3" t="inlineStr">
        <is>
          <t>Rows_for_tool_in_output</t>
        </is>
      </c>
      <c r="F2" s="3" t="inlineStr">
        <is>
          <t>Allele_count_OK</t>
        </is>
      </c>
    </row>
    <row r="3">
      <c r="A3" s="4" t="inlineStr">
        <is>
          <t>Evaluable set</t>
        </is>
      </c>
      <c r="B3" s="4" t="inlineStr">
        <is>
          <t>PtxS1</t>
        </is>
      </c>
      <c r="C3" s="5" t="inlineStr">
        <is>
          <t>IEDB I</t>
        </is>
      </c>
      <c r="D3" s="5" t="n">
        <v>6</v>
      </c>
      <c r="E3" s="5" t="n">
        <v>6</v>
      </c>
      <c r="F3" s="5" t="b">
        <v>1</v>
      </c>
    </row>
    <row r="4">
      <c r="A4" s="4" t="inlineStr">
        <is>
          <t>Evaluable set</t>
        </is>
      </c>
      <c r="B4" s="4" t="inlineStr">
        <is>
          <t>PtxS1</t>
        </is>
      </c>
      <c r="C4" s="5" t="inlineStr">
        <is>
          <t>NetCTL</t>
        </is>
      </c>
      <c r="D4" s="5" t="n">
        <v>6</v>
      </c>
      <c r="E4" s="5" t="n">
        <v>6</v>
      </c>
      <c r="F4" s="5" t="b">
        <v>1</v>
      </c>
    </row>
    <row r="5">
      <c r="A5" s="4" t="inlineStr">
        <is>
          <t>Evaluable set</t>
        </is>
      </c>
      <c r="B5" s="4" t="inlineStr">
        <is>
          <t>PtxS1</t>
        </is>
      </c>
      <c r="C5" s="5" t="inlineStr">
        <is>
          <t>NetMHC</t>
        </is>
      </c>
      <c r="D5" s="5" t="n">
        <v>6</v>
      </c>
      <c r="E5" s="5" t="n">
        <v>6</v>
      </c>
      <c r="F5" s="5" t="b">
        <v>1</v>
      </c>
    </row>
    <row r="6">
      <c r="A6" s="4" t="inlineStr">
        <is>
          <t>Evaluable set</t>
        </is>
      </c>
      <c r="B6" s="4" t="inlineStr">
        <is>
          <t>PtxS1</t>
        </is>
      </c>
      <c r="C6" s="5" t="inlineStr">
        <is>
          <t>NetMHCpan</t>
        </is>
      </c>
      <c r="D6" s="5" t="n">
        <v>6</v>
      </c>
      <c r="E6" s="5" t="n">
        <v>6</v>
      </c>
      <c r="F6" s="5" t="b">
        <v>1</v>
      </c>
    </row>
    <row r="7">
      <c r="A7" s="4" t="inlineStr">
        <is>
          <t>Full reference set</t>
        </is>
      </c>
      <c r="B7" s="4" t="inlineStr">
        <is>
          <t>PtxS1</t>
        </is>
      </c>
      <c r="C7" s="5" t="inlineStr">
        <is>
          <t>IEDB I</t>
        </is>
      </c>
      <c r="D7" s="5" t="n">
        <v>6</v>
      </c>
      <c r="E7" s="5" t="n">
        <v>6</v>
      </c>
      <c r="F7" s="5" t="b">
        <v>1</v>
      </c>
    </row>
    <row r="8">
      <c r="A8" s="4" t="inlineStr">
        <is>
          <t>Full reference set</t>
        </is>
      </c>
      <c r="B8" s="4" t="inlineStr">
        <is>
          <t>PtxS1</t>
        </is>
      </c>
      <c r="C8" s="5" t="inlineStr">
        <is>
          <t>NetCTL</t>
        </is>
      </c>
      <c r="D8" s="5" t="n">
        <v>6</v>
      </c>
      <c r="E8" s="5" t="n">
        <v>6</v>
      </c>
      <c r="F8" s="5" t="b">
        <v>1</v>
      </c>
    </row>
    <row r="9">
      <c r="A9" s="4" t="inlineStr">
        <is>
          <t>Full reference set</t>
        </is>
      </c>
      <c r="B9" s="4" t="inlineStr">
        <is>
          <t>PtxS1</t>
        </is>
      </c>
      <c r="C9" s="5" t="inlineStr">
        <is>
          <t>NetMHC</t>
        </is>
      </c>
      <c r="D9" s="5" t="n">
        <v>6</v>
      </c>
      <c r="E9" s="5" t="n">
        <v>6</v>
      </c>
      <c r="F9" s="5" t="b">
        <v>1</v>
      </c>
    </row>
    <row r="10">
      <c r="A10" s="4" t="inlineStr">
        <is>
          <t>Full reference set</t>
        </is>
      </c>
      <c r="B10" s="4" t="inlineStr">
        <is>
          <t>PtxS1</t>
        </is>
      </c>
      <c r="C10" s="5" t="inlineStr">
        <is>
          <t>NetMHCpan</t>
        </is>
      </c>
      <c r="D10" s="5" t="n">
        <v>6</v>
      </c>
      <c r="E10" s="5" t="n">
        <v>6</v>
      </c>
      <c r="F10" s="5" t="b">
        <v>1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8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6" customWidth="1" min="11" max="11"/>
    <col width="18" customWidth="1" min="12" max="12"/>
  </cols>
  <sheetData>
    <row r="1">
      <c r="A1" s="2" t="inlineStr">
        <is>
          <t>Input files — PtxS1 — MHC I</t>
        </is>
      </c>
    </row>
    <row r="2">
      <c r="A2" s="3" t="inlineStr">
        <is>
          <t>Antigen</t>
        </is>
      </c>
      <c r="B2" s="3" t="inlineStr">
        <is>
          <t>Kind</t>
        </is>
      </c>
      <c r="C2" s="3" t="inlineStr">
        <is>
          <t>Path</t>
        </is>
      </c>
      <c r="D2" s="3" t="inlineStr">
        <is>
          <t>Sheet</t>
        </is>
      </c>
      <c r="E2" s="3" t="inlineStr">
        <is>
          <t>Allele_col</t>
        </is>
      </c>
      <c r="F2" s="3" t="inlineStr">
        <is>
          <t>Peptide_col</t>
        </is>
      </c>
      <c r="G2" s="3" t="inlineStr">
        <is>
          <t>Status</t>
        </is>
      </c>
      <c r="H2" s="3" t="inlineStr">
        <is>
          <t>Pairs_after_file_dedup</t>
        </is>
      </c>
      <c r="I2" s="3" t="inlineStr">
        <is>
          <t>Unique_alleles</t>
        </is>
      </c>
      <c r="J2" s="3" t="inlineStr">
        <is>
          <t>Message</t>
        </is>
      </c>
      <c r="K2" s="3" t="inlineStr">
        <is>
          <t>Tool</t>
        </is>
      </c>
      <c r="L2" s="3" t="inlineStr">
        <is>
          <t>Source</t>
        </is>
      </c>
    </row>
    <row r="3">
      <c r="A3" s="4" t="inlineStr">
        <is>
          <t>PtxS1</t>
        </is>
      </c>
      <c r="B3" s="4" t="inlineStr">
        <is>
          <t>DATASET</t>
        </is>
      </c>
      <c r="C3" s="5" t="inlineStr">
        <is>
          <t>/home/asik/Избранное/Review preparation/Контроль/Запуски тулов на PtxS1/PtxS1.xlsx</t>
        </is>
      </c>
      <c r="D3" s="5" t="inlineStr">
        <is>
          <t>Sheet1</t>
        </is>
      </c>
      <c r="E3" s="5" t="inlineStr">
        <is>
          <t>HLA allele</t>
        </is>
      </c>
      <c r="F3" s="5" t="inlineStr">
        <is>
          <t>CTL epitopes</t>
        </is>
      </c>
      <c r="G3" s="5" t="inlineStr">
        <is>
          <t>OK</t>
        </is>
      </c>
      <c r="H3" s="5" t="n">
        <v>10</v>
      </c>
      <c r="I3" s="5" t="n">
        <v>6</v>
      </c>
      <c r="J3" s="5" t="inlineStr"/>
      <c r="K3" s="5" t="inlineStr"/>
      <c r="L3" s="5" t="inlineStr"/>
    </row>
    <row r="4">
      <c r="A4" s="4" t="inlineStr">
        <is>
          <t>PtxS1</t>
        </is>
      </c>
      <c r="B4" s="4" t="inlineStr">
        <is>
          <t>RM</t>
        </is>
      </c>
      <c r="C4" s="5" t="inlineStr">
        <is>
          <t>/home/asik/Избранное/Review preparation/Контроль/Запуски тулов на PtxS1/Matches MHC I/Matches IEDB_I_Consensus/RM_PtxS1_IEDB_I_Consensus.xlsx</t>
        </is>
      </c>
      <c r="D4" s="5" t="inlineStr">
        <is>
          <t>Union_OR</t>
        </is>
      </c>
      <c r="E4" s="5" t="inlineStr"/>
      <c r="F4" s="5" t="inlineStr"/>
      <c r="G4" s="5" t="inlineStr">
        <is>
          <t>OK</t>
        </is>
      </c>
      <c r="H4" s="5" t="n">
        <v>8</v>
      </c>
      <c r="I4" s="5" t="inlineStr"/>
      <c r="J4" s="5" t="inlineStr"/>
      <c r="K4" s="5" t="inlineStr">
        <is>
          <t>IEDB I</t>
        </is>
      </c>
      <c r="L4" s="5" t="inlineStr">
        <is>
          <t>IEDB_I_Consensus</t>
        </is>
      </c>
    </row>
    <row r="5">
      <c r="A5" s="4" t="inlineStr">
        <is>
          <t>PtxS1</t>
        </is>
      </c>
      <c r="B5" s="4" t="inlineStr">
        <is>
          <t>UP</t>
        </is>
      </c>
      <c r="C5" s="5" t="inlineStr">
        <is>
          <t>/home/asik/Избранное/Review preparation/Контроль/Запуски тулов на PtxS1/Matches MHC I/Matches IEDB_I_Consensus/UP_PtxS1_IEDB_I_Consensus.xlsx</t>
        </is>
      </c>
      <c r="D5" s="5" t="inlineStr">
        <is>
          <t>Union_OR</t>
        </is>
      </c>
      <c r="E5" s="5" t="inlineStr"/>
      <c r="F5" s="5" t="inlineStr"/>
      <c r="G5" s="5" t="inlineStr">
        <is>
          <t>OK</t>
        </is>
      </c>
      <c r="H5" s="5" t="n">
        <v>228</v>
      </c>
      <c r="I5" s="5" t="inlineStr"/>
      <c r="J5" s="5" t="inlineStr"/>
      <c r="K5" s="5" t="inlineStr">
        <is>
          <t>IEDB I</t>
        </is>
      </c>
      <c r="L5" s="5" t="inlineStr">
        <is>
          <t>IEDB_I_Consensus</t>
        </is>
      </c>
    </row>
    <row r="6">
      <c r="A6" s="4" t="inlineStr">
        <is>
          <t>PtxS1</t>
        </is>
      </c>
      <c r="B6" s="4" t="inlineStr">
        <is>
          <t>RM</t>
        </is>
      </c>
      <c r="C6" s="5" t="inlineStr">
        <is>
          <t>/home/asik/Избранное/Review preparation/Контроль/Запуски тулов на PtxS1/Matches MHC I/Matches IEDB_I_NetMHCpan_4.1_BA/RM_PtxS1_IEDB_I_NetMHCpan_4.1_BA.xlsx</t>
        </is>
      </c>
      <c r="D6" s="5" t="inlineStr">
        <is>
          <t>Union_OR</t>
        </is>
      </c>
      <c r="E6" s="5" t="inlineStr"/>
      <c r="F6" s="5" t="inlineStr"/>
      <c r="G6" s="5" t="inlineStr">
        <is>
          <t>OK</t>
        </is>
      </c>
      <c r="H6" s="5" t="n">
        <v>8</v>
      </c>
      <c r="I6" s="5" t="inlineStr"/>
      <c r="J6" s="5" t="inlineStr"/>
      <c r="K6" s="5" t="inlineStr">
        <is>
          <t>IEDB I</t>
        </is>
      </c>
      <c r="L6" s="5" t="inlineStr">
        <is>
          <t>IEDB_I_NetMHCpan_4.1_BA</t>
        </is>
      </c>
    </row>
    <row r="7">
      <c r="A7" s="4" t="inlineStr">
        <is>
          <t>PtxS1</t>
        </is>
      </c>
      <c r="B7" s="4" t="inlineStr">
        <is>
          <t>UP</t>
        </is>
      </c>
      <c r="C7" s="5" t="inlineStr">
        <is>
          <t>/home/asik/Избранное/Review preparation/Контроль/Запуски тулов на PtxS1/Matches MHC I/Matches IEDB_I_NetMHCpan_4.1_BA/UP_PtxS1_IEDB_I_NetMHCpan_4.1_BA.xlsx</t>
        </is>
      </c>
      <c r="D7" s="5" t="inlineStr">
        <is>
          <t>Union_OR</t>
        </is>
      </c>
      <c r="E7" s="5" t="inlineStr"/>
      <c r="F7" s="5" t="inlineStr"/>
      <c r="G7" s="5" t="inlineStr">
        <is>
          <t>OK</t>
        </is>
      </c>
      <c r="H7" s="5" t="n">
        <v>122</v>
      </c>
      <c r="I7" s="5" t="inlineStr"/>
      <c r="J7" s="5" t="inlineStr"/>
      <c r="K7" s="5" t="inlineStr">
        <is>
          <t>IEDB I</t>
        </is>
      </c>
      <c r="L7" s="5" t="inlineStr">
        <is>
          <t>IEDB_I_NetMHCpan_4.1_BA</t>
        </is>
      </c>
    </row>
    <row r="8">
      <c r="A8" s="4" t="inlineStr">
        <is>
          <t>PtxS1</t>
        </is>
      </c>
      <c r="B8" s="4" t="inlineStr">
        <is>
          <t>RM</t>
        </is>
      </c>
      <c r="C8" s="5" t="inlineStr">
        <is>
          <t>/home/asik/Избранное/Review preparation/Контроль/Запуски тулов на PtxS1/Matches MHC I/Matches IEDB_I_NetMHCpan_4.1_EL/RM_PtxS1_IEDB_I_NetMHCpan_4.1_EL.xlsx</t>
        </is>
      </c>
      <c r="D8" s="5" t="inlineStr">
        <is>
          <t>Union_OR</t>
        </is>
      </c>
      <c r="E8" s="5" t="inlineStr"/>
      <c r="F8" s="5" t="inlineStr"/>
      <c r="G8" s="5" t="inlineStr">
        <is>
          <t>OK</t>
        </is>
      </c>
      <c r="H8" s="5" t="n">
        <v>7</v>
      </c>
      <c r="I8" s="5" t="inlineStr"/>
      <c r="J8" s="5" t="inlineStr"/>
      <c r="K8" s="5" t="inlineStr">
        <is>
          <t>IEDB I</t>
        </is>
      </c>
      <c r="L8" s="5" t="inlineStr">
        <is>
          <t>IEDB_I_NetMHCpan_4.1_EL</t>
        </is>
      </c>
    </row>
    <row r="9">
      <c r="A9" s="4" t="inlineStr">
        <is>
          <t>PtxS1</t>
        </is>
      </c>
      <c r="B9" s="4" t="inlineStr">
        <is>
          <t>UP</t>
        </is>
      </c>
      <c r="C9" s="5" t="inlineStr">
        <is>
          <t>/home/asik/Избранное/Review preparation/Контроль/Запуски тулов на PtxS1/Matches MHC I/Matches IEDB_I_NetMHCpan_4.1_EL/UP_PtxS1_IEDB_I_NetMHCpan_4.1_EL.xlsx</t>
        </is>
      </c>
      <c r="D9" s="5" t="inlineStr">
        <is>
          <t>Union_OR</t>
        </is>
      </c>
      <c r="E9" s="5" t="inlineStr"/>
      <c r="F9" s="5" t="inlineStr"/>
      <c r="G9" s="5" t="inlineStr">
        <is>
          <t>OK</t>
        </is>
      </c>
      <c r="H9" s="5" t="n">
        <v>127</v>
      </c>
      <c r="I9" s="5" t="inlineStr"/>
      <c r="J9" s="5" t="inlineStr"/>
      <c r="K9" s="5" t="inlineStr">
        <is>
          <t>IEDB I</t>
        </is>
      </c>
      <c r="L9" s="5" t="inlineStr">
        <is>
          <t>IEDB_I_NetMHCpan_4.1_EL</t>
        </is>
      </c>
    </row>
    <row r="10">
      <c r="A10" s="4" t="inlineStr">
        <is>
          <t>PtxS1</t>
        </is>
      </c>
      <c r="B10" s="4" t="inlineStr">
        <is>
          <t>RM</t>
        </is>
      </c>
      <c r="C10" s="5" t="inlineStr">
        <is>
          <t>/home/asik/Избранное/Review preparation/Контроль/Запуски тулов на PtxS1/Matches MHC I/Matches NetCTL_1.2/RM_PtxS1_NetCTL_1.2.xlsx</t>
        </is>
      </c>
      <c r="D10" s="5" t="inlineStr">
        <is>
          <t>Recovered Matches</t>
        </is>
      </c>
      <c r="E10" s="5" t="inlineStr"/>
      <c r="F10" s="5" t="inlineStr"/>
      <c r="G10" s="5" t="inlineStr">
        <is>
          <t>OK</t>
        </is>
      </c>
      <c r="H10" s="5" t="n">
        <v>5</v>
      </c>
      <c r="I10" s="5" t="inlineStr"/>
      <c r="J10" s="5" t="inlineStr"/>
      <c r="K10" s="5" t="inlineStr">
        <is>
          <t>NetCTL</t>
        </is>
      </c>
      <c r="L10" s="5" t="inlineStr">
        <is>
          <t>NetCTL_1.2</t>
        </is>
      </c>
    </row>
    <row r="11">
      <c r="A11" s="4" t="inlineStr">
        <is>
          <t>PtxS1</t>
        </is>
      </c>
      <c r="B11" s="4" t="inlineStr">
        <is>
          <t>UP</t>
        </is>
      </c>
      <c r="C11" s="5" t="inlineStr">
        <is>
          <t>/home/asik/Избранное/Review preparation/Контроль/Запуски тулов на PtxS1/Matches MHC I/Matches NetCTL_1.2/UP_PtxS1_NetCTL_1.2.xlsx</t>
        </is>
      </c>
      <c r="D11" s="5" t="inlineStr">
        <is>
          <t>Unvalidated Predictions</t>
        </is>
      </c>
      <c r="E11" s="5" t="inlineStr"/>
      <c r="F11" s="5" t="inlineStr"/>
      <c r="G11" s="5" t="inlineStr">
        <is>
          <t>OK</t>
        </is>
      </c>
      <c r="H11" s="5" t="n">
        <v>41</v>
      </c>
      <c r="I11" s="5" t="inlineStr"/>
      <c r="J11" s="5" t="inlineStr"/>
      <c r="K11" s="5" t="inlineStr">
        <is>
          <t>NetCTL</t>
        </is>
      </c>
      <c r="L11" s="5" t="inlineStr">
        <is>
          <t>NetCTL_1.2</t>
        </is>
      </c>
    </row>
    <row r="12">
      <c r="A12" s="4" t="inlineStr">
        <is>
          <t>PtxS1</t>
        </is>
      </c>
      <c r="B12" s="4" t="inlineStr">
        <is>
          <t>RM</t>
        </is>
      </c>
      <c r="C12" s="5" t="inlineStr">
        <is>
          <t>/home/asik/Избранное/Review preparation/Контроль/Запуски тулов на PtxS1/Matches MHC I/Matches NetMHC_4.0/RM_PtxS1_NetMHC_4.0.xlsx</t>
        </is>
      </c>
      <c r="D12" s="5" t="inlineStr">
        <is>
          <t>Union_OR</t>
        </is>
      </c>
      <c r="E12" s="5" t="inlineStr"/>
      <c r="F12" s="5" t="inlineStr"/>
      <c r="G12" s="5" t="inlineStr">
        <is>
          <t>OK</t>
        </is>
      </c>
      <c r="H12" s="5" t="n">
        <v>10</v>
      </c>
      <c r="I12" s="5" t="inlineStr"/>
      <c r="J12" s="5" t="inlineStr"/>
      <c r="K12" s="5" t="inlineStr">
        <is>
          <t>NetMHC</t>
        </is>
      </c>
      <c r="L12" s="5" t="inlineStr">
        <is>
          <t>NetMHC_4.0</t>
        </is>
      </c>
    </row>
    <row r="13">
      <c r="A13" s="4" t="inlineStr">
        <is>
          <t>PtxS1</t>
        </is>
      </c>
      <c r="B13" s="4" t="inlineStr">
        <is>
          <t>UP</t>
        </is>
      </c>
      <c r="C13" s="5" t="inlineStr">
        <is>
          <t>/home/asik/Избранное/Review preparation/Контроль/Запуски тулов на PtxS1/Matches MHC I/Matches NetMHC_4.0/UP_PtxS1_NetMHC_4.0.xlsx</t>
        </is>
      </c>
      <c r="D13" s="5" t="inlineStr">
        <is>
          <t>Union_OR</t>
        </is>
      </c>
      <c r="E13" s="5" t="inlineStr"/>
      <c r="F13" s="5" t="inlineStr"/>
      <c r="G13" s="5" t="inlineStr">
        <is>
          <t>OK</t>
        </is>
      </c>
      <c r="H13" s="5" t="n">
        <v>267</v>
      </c>
      <c r="I13" s="5" t="inlineStr"/>
      <c r="J13" s="5" t="inlineStr"/>
      <c r="K13" s="5" t="inlineStr">
        <is>
          <t>NetMHC</t>
        </is>
      </c>
      <c r="L13" s="5" t="inlineStr">
        <is>
          <t>NetMHC_4.0</t>
        </is>
      </c>
    </row>
    <row r="14">
      <c r="A14" s="4" t="inlineStr">
        <is>
          <t>PtxS1</t>
        </is>
      </c>
      <c r="B14" s="4" t="inlineStr">
        <is>
          <t>RM</t>
        </is>
      </c>
      <c r="C14" s="5" t="inlineStr">
        <is>
          <t>/home/asik/Избранное/Review preparation/Контроль/Запуски тулов на PtxS1/Matches MHC I/Matches NetMHCpan_4.1/RM_PtxS1_NetMHCpan_4.1.xlsx</t>
        </is>
      </c>
      <c r="D14" s="5" t="inlineStr">
        <is>
          <t>Union_OR</t>
        </is>
      </c>
      <c r="E14" s="5" t="inlineStr"/>
      <c r="F14" s="5" t="inlineStr"/>
      <c r="G14" s="5" t="inlineStr">
        <is>
          <t>OK</t>
        </is>
      </c>
      <c r="H14" s="5" t="n">
        <v>8</v>
      </c>
      <c r="I14" s="5" t="inlineStr"/>
      <c r="J14" s="5" t="inlineStr"/>
      <c r="K14" s="5" t="inlineStr">
        <is>
          <t>NetMHCpan</t>
        </is>
      </c>
      <c r="L14" s="5" t="inlineStr">
        <is>
          <t>NetMHCpan_4.1</t>
        </is>
      </c>
    </row>
    <row r="15">
      <c r="A15" s="4" t="inlineStr">
        <is>
          <t>PtxS1</t>
        </is>
      </c>
      <c r="B15" s="4" t="inlineStr">
        <is>
          <t>UP</t>
        </is>
      </c>
      <c r="C15" s="5" t="inlineStr">
        <is>
          <t>/home/asik/Избранное/Review preparation/Контроль/Запуски тулов на PtxS1/Matches MHC I/Matches NetMHCpan_4.1/UP_PtxS1_NetMHCpan_4.1.xlsx</t>
        </is>
      </c>
      <c r="D15" s="5" t="inlineStr">
        <is>
          <t>Union_OR</t>
        </is>
      </c>
      <c r="E15" s="5" t="inlineStr"/>
      <c r="F15" s="5" t="inlineStr"/>
      <c r="G15" s="5" t="inlineStr">
        <is>
          <t>OK</t>
        </is>
      </c>
      <c r="H15" s="5" t="n">
        <v>234</v>
      </c>
      <c r="I15" s="5" t="inlineStr"/>
      <c r="J15" s="5" t="inlineStr"/>
      <c r="K15" s="5" t="inlineStr">
        <is>
          <t>NetMHCpan</t>
        </is>
      </c>
      <c r="L15" s="5" t="inlineStr">
        <is>
          <t>NetMHCpan_4.1</t>
        </is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2026-09-19T20:59:48Z</dcterms:created>
  <dcterms:modified xmlns:dcterms="http://purl.org/dc/terms/" xmlns:xsi="http://www.w3.org/2001/XMLSchema-instance" xsi:type="dcterms:W3CDTF">2026-09-19T20:59:48Z</dcterms:modified>
</cp:coreProperties>
</file>