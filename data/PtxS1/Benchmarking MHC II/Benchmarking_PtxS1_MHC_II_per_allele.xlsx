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ble_set_per_allele" sheetId="1" state="visible" r:id="rId1"/>
    <sheet xmlns:r="http://schemas.openxmlformats.org/officeDocument/2006/relationships" name="Full_reference_per_allele" sheetId="2" state="visible" r:id="rId2"/>
    <sheet xmlns:r="http://schemas.openxmlformats.org/officeDocument/2006/relationships" name="Alleles_expected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Input_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 wrapText="1"/>
    </xf>
    <xf numFmtId="2" fontId="0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valuable_per_allele_II_PtxS1" displayName="Evaluable_per_allele_II_PtxS1" ref="A2:F8" headerRowCount="1">
  <autoFilter ref="A2:F8"/>
  <tableColumns count="6">
    <tableColumn id="1" name="Tool"/>
    <tableColumn id="2" name="Allele"/>
    <tableColumn id="3" name="Experimental_pairs"/>
    <tableColumn id="4" name="RM per allele"/>
    <tableColumn id="5" name="UP per allele"/>
    <tableColumn id="6" name="Recovery rate per allele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_reference_per_allele_II_PtxS1" displayName="Full_reference_per_allele_II_PtxS1" ref="A2:F8" headerRowCount="1">
  <autoFilter ref="A2:F8"/>
  <tableColumns count="6">
    <tableColumn id="1" name="Tool"/>
    <tableColumn id="2" name="Allele"/>
    <tableColumn id="3" name="Experimental_pairs"/>
    <tableColumn id="4" name="RM per allele"/>
    <tableColumn id="5" name="UP per allele"/>
    <tableColumn id="6" name="Recovery rate per allele (%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eles_expected_II_PtxS1" displayName="Alleles_expected_II_PtxS1" ref="A2:C6" headerRowCount="1">
  <autoFilter ref="A2:C6"/>
  <tableColumns count="3">
    <tableColumn id="1" name="Set"/>
    <tableColumn id="2" name="Allele"/>
    <tableColumn id="3" name="Experimental_pai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idation_II_PtxS1" displayName="Validation_II_PtxS1" ref="A2:F8" headerRowCount="1">
  <autoFilter ref="A2:F8"/>
  <tableColumns count="6">
    <tableColumn id="1" name="Set"/>
    <tableColumn id="2" name="Antigen"/>
    <tableColumn id="3" name="Tool"/>
    <tableColumn id="4" name="Expected_unique_alleles_in_dataset"/>
    <tableColumn id="5" name="Rows_for_tool_in_output"/>
    <tableColumn id="6" name="Allele_count_O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_files_II_PtxS1" displayName="Input_files_II_PtxS1" ref="A2:L13" headerRowCount="1">
  <autoFilter ref="A2:L13"/>
  <tableColumns count="12">
    <tableColumn id="1" name="Antigen"/>
    <tableColumn id="2" name="Kind"/>
    <tableColumn id="3" name="Path"/>
    <tableColumn id="4" name="Sheet"/>
    <tableColumn id="5" name="Allele_col"/>
    <tableColumn id="6" name="Peptide_col"/>
    <tableColumn id="7" name="Status"/>
    <tableColumn id="8" name="Pairs_after_file_dedup"/>
    <tableColumn id="9" name="Unique_alleles"/>
    <tableColumn id="10" name="Message"/>
    <tableColumn id="11" name="Tool"/>
    <tableColumn id="12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5" customWidth="1" min="5" max="5"/>
    <col width="25" customWidth="1" min="6" max="6"/>
  </cols>
  <sheetData>
    <row r="1">
      <c r="A1" s="2" t="inlineStr">
        <is>
          <t>Evaluable set per allele — PtxS1 — MHC II</t>
        </is>
      </c>
    </row>
    <row r="2">
      <c r="A2" s="3" t="inlineStr">
        <is>
          <t>Tool</t>
        </is>
      </c>
      <c r="B2" s="3" t="inlineStr">
        <is>
          <t>Allele</t>
        </is>
      </c>
      <c r="C2" s="3" t="inlineStr">
        <is>
          <t>Experimental_pairs</t>
        </is>
      </c>
      <c r="D2" s="3" t="inlineStr">
        <is>
          <t>RM per allele</t>
        </is>
      </c>
      <c r="E2" s="3" t="inlineStr">
        <is>
          <t>UP per allele</t>
        </is>
      </c>
      <c r="F2" s="3" t="inlineStr">
        <is>
          <t>Recovery rate per allele (%)</t>
        </is>
      </c>
    </row>
    <row r="3">
      <c r="A3" s="4" t="inlineStr">
        <is>
          <t>IEDB II</t>
        </is>
      </c>
      <c r="B3" s="4" t="inlineStr">
        <is>
          <t>DRB1*01:01</t>
        </is>
      </c>
      <c r="C3" s="5" t="n">
        <v>1</v>
      </c>
      <c r="D3" s="5" t="n">
        <v>1</v>
      </c>
      <c r="E3" s="5" t="n">
        <v>0</v>
      </c>
      <c r="F3" s="6">
        <f>IF((D3+E3)=0,"",D3/(D3+E3)*100)</f>
        <v/>
      </c>
    </row>
    <row r="4">
      <c r="A4" s="4" t="inlineStr">
        <is>
          <t>IEDB II</t>
        </is>
      </c>
      <c r="B4" s="4" t="inlineStr">
        <is>
          <t>DRB1*11:01</t>
        </is>
      </c>
      <c r="C4" s="5" t="n">
        <v>1</v>
      </c>
      <c r="D4" s="5" t="n">
        <v>1</v>
      </c>
      <c r="E4" s="5" t="n">
        <v>0</v>
      </c>
      <c r="F4" s="6">
        <f>IF((D4+E4)=0,"",D4/(D4+E4)*100)</f>
        <v/>
      </c>
    </row>
    <row r="5">
      <c r="A5" s="4" t="inlineStr">
        <is>
          <t>NetMHC II</t>
        </is>
      </c>
      <c r="B5" s="4" t="inlineStr">
        <is>
          <t>DRB1*01:01</t>
        </is>
      </c>
      <c r="C5" s="5" t="n">
        <v>1</v>
      </c>
      <c r="D5" s="5" t="n">
        <v>1</v>
      </c>
      <c r="E5" s="5" t="n">
        <v>0</v>
      </c>
      <c r="F5" s="6">
        <f>IF((D5+E5)=0,"",D5/(D5+E5)*100)</f>
        <v/>
      </c>
    </row>
    <row r="6">
      <c r="A6" s="4" t="inlineStr">
        <is>
          <t>NetMHC II</t>
        </is>
      </c>
      <c r="B6" s="4" t="inlineStr">
        <is>
          <t>DRB1*11:01</t>
        </is>
      </c>
      <c r="C6" s="5" t="n">
        <v>1</v>
      </c>
      <c r="D6" s="5" t="n">
        <v>1</v>
      </c>
      <c r="E6" s="5" t="n">
        <v>0</v>
      </c>
      <c r="F6" s="6">
        <f>IF((D6+E6)=0,"",D6/(D6+E6)*100)</f>
        <v/>
      </c>
    </row>
    <row r="7">
      <c r="A7" s="4" t="inlineStr">
        <is>
          <t>NetMHCIIpan</t>
        </is>
      </c>
      <c r="B7" s="4" t="inlineStr">
        <is>
          <t>DRB1*01:01</t>
        </is>
      </c>
      <c r="C7" s="5" t="n">
        <v>1</v>
      </c>
      <c r="D7" s="5" t="n">
        <v>1</v>
      </c>
      <c r="E7" s="5" t="n">
        <v>0</v>
      </c>
      <c r="F7" s="6">
        <f>IF((D7+E7)=0,"",D7/(D7+E7)*100)</f>
        <v/>
      </c>
    </row>
    <row r="8">
      <c r="A8" s="4" t="inlineStr">
        <is>
          <t>NetMHCIIpan</t>
        </is>
      </c>
      <c r="B8" s="4" t="inlineStr">
        <is>
          <t>DRB1*11:01</t>
        </is>
      </c>
      <c r="C8" s="5" t="n">
        <v>1</v>
      </c>
      <c r="D8" s="5" t="n">
        <v>0</v>
      </c>
      <c r="E8" s="5" t="n">
        <v>1</v>
      </c>
      <c r="F8" s="6">
        <f>IF((D8+E8)=0,"",D8/(D8+E8)*100)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5" customWidth="1" min="5" max="5"/>
    <col width="25" customWidth="1" min="6" max="6"/>
  </cols>
  <sheetData>
    <row r="1">
      <c r="A1" s="2" t="inlineStr">
        <is>
          <t>Full reference set per allele — PtxS1 — MHC II</t>
        </is>
      </c>
    </row>
    <row r="2">
      <c r="A2" s="3" t="inlineStr">
        <is>
          <t>Tool</t>
        </is>
      </c>
      <c r="B2" s="3" t="inlineStr">
        <is>
          <t>Allele</t>
        </is>
      </c>
      <c r="C2" s="3" t="inlineStr">
        <is>
          <t>Experimental_pairs</t>
        </is>
      </c>
      <c r="D2" s="3" t="inlineStr">
        <is>
          <t>RM per allele</t>
        </is>
      </c>
      <c r="E2" s="3" t="inlineStr">
        <is>
          <t>UP per allele</t>
        </is>
      </c>
      <c r="F2" s="3" t="inlineStr">
        <is>
          <t>Recovery rate per allele (%)</t>
        </is>
      </c>
    </row>
    <row r="3">
      <c r="A3" s="4" t="inlineStr">
        <is>
          <t>IEDB II</t>
        </is>
      </c>
      <c r="B3" s="4" t="inlineStr">
        <is>
          <t>DRB1*01:01</t>
        </is>
      </c>
      <c r="C3" s="5" t="n">
        <v>1</v>
      </c>
      <c r="D3" s="5" t="n">
        <v>1</v>
      </c>
      <c r="E3" s="5" t="n">
        <v>0</v>
      </c>
      <c r="F3" s="6">
        <f>IF((D3+E3)=0,"",D3/(D3+E3)*100)</f>
        <v/>
      </c>
    </row>
    <row r="4">
      <c r="A4" s="4" t="inlineStr">
        <is>
          <t>IEDB II</t>
        </is>
      </c>
      <c r="B4" s="4" t="inlineStr">
        <is>
          <t>DRB1*11:01</t>
        </is>
      </c>
      <c r="C4" s="5" t="n">
        <v>1</v>
      </c>
      <c r="D4" s="5" t="n">
        <v>1</v>
      </c>
      <c r="E4" s="5" t="n">
        <v>0</v>
      </c>
      <c r="F4" s="6">
        <f>IF((D4+E4)=0,"",D4/(D4+E4)*100)</f>
        <v/>
      </c>
    </row>
    <row r="5">
      <c r="A5" s="4" t="inlineStr">
        <is>
          <t>NetMHC II</t>
        </is>
      </c>
      <c r="B5" s="4" t="inlineStr">
        <is>
          <t>DRB1*01:01</t>
        </is>
      </c>
      <c r="C5" s="5" t="n">
        <v>1</v>
      </c>
      <c r="D5" s="5" t="n">
        <v>1</v>
      </c>
      <c r="E5" s="5" t="n">
        <v>0</v>
      </c>
      <c r="F5" s="6">
        <f>IF((D5+E5)=0,"",D5/(D5+E5)*100)</f>
        <v/>
      </c>
    </row>
    <row r="6">
      <c r="A6" s="4" t="inlineStr">
        <is>
          <t>NetMHC II</t>
        </is>
      </c>
      <c r="B6" s="4" t="inlineStr">
        <is>
          <t>DRB1*11:01</t>
        </is>
      </c>
      <c r="C6" s="5" t="n">
        <v>1</v>
      </c>
      <c r="D6" s="5" t="n">
        <v>1</v>
      </c>
      <c r="E6" s="5" t="n">
        <v>0</v>
      </c>
      <c r="F6" s="6">
        <f>IF((D6+E6)=0,"",D6/(D6+E6)*100)</f>
        <v/>
      </c>
    </row>
    <row r="7">
      <c r="A7" s="4" t="inlineStr">
        <is>
          <t>NetMHCIIpan</t>
        </is>
      </c>
      <c r="B7" s="4" t="inlineStr">
        <is>
          <t>DRB1*01:01</t>
        </is>
      </c>
      <c r="C7" s="5" t="n">
        <v>1</v>
      </c>
      <c r="D7" s="5" t="n">
        <v>1</v>
      </c>
      <c r="E7" s="5" t="n">
        <v>0</v>
      </c>
      <c r="F7" s="6">
        <f>IF((D7+E7)=0,"",D7/(D7+E7)*100)</f>
        <v/>
      </c>
    </row>
    <row r="8">
      <c r="A8" s="4" t="inlineStr">
        <is>
          <t>NetMHCIIpan</t>
        </is>
      </c>
      <c r="B8" s="4" t="inlineStr">
        <is>
          <t>DRB1*11:01</t>
        </is>
      </c>
      <c r="C8" s="5" t="n">
        <v>1</v>
      </c>
      <c r="D8" s="5" t="n">
        <v>0</v>
      </c>
      <c r="E8" s="5" t="n">
        <v>1</v>
      </c>
      <c r="F8" s="6">
        <f>IF((D8+E8)=0,"",D8/(D8+E8)*100)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</cols>
  <sheetData>
    <row r="1">
      <c r="A1" s="2" t="inlineStr">
        <is>
          <t>Expected alleles from experimental dataset — PtxS1 — MHC II</t>
        </is>
      </c>
    </row>
    <row r="2">
      <c r="A2" s="3" t="inlineStr">
        <is>
          <t>Set</t>
        </is>
      </c>
      <c r="B2" s="3" t="inlineStr">
        <is>
          <t>Allele</t>
        </is>
      </c>
      <c r="C2" s="3" t="inlineStr">
        <is>
          <t>Experimental_pairs</t>
        </is>
      </c>
    </row>
    <row r="3">
      <c r="A3" s="4" t="inlineStr">
        <is>
          <t>Evaluable set</t>
        </is>
      </c>
      <c r="B3" s="4" t="inlineStr">
        <is>
          <t>DRB1*01:01</t>
        </is>
      </c>
      <c r="C3" s="5" t="n">
        <v>1</v>
      </c>
    </row>
    <row r="4">
      <c r="A4" s="4" t="inlineStr">
        <is>
          <t>Evaluable set</t>
        </is>
      </c>
      <c r="B4" s="4" t="inlineStr">
        <is>
          <t>DRB1*11:01</t>
        </is>
      </c>
      <c r="C4" s="5" t="n">
        <v>1</v>
      </c>
    </row>
    <row r="5">
      <c r="A5" s="4" t="inlineStr">
        <is>
          <t>Full reference set</t>
        </is>
      </c>
      <c r="B5" s="4" t="inlineStr">
        <is>
          <t>DRB1*01:01</t>
        </is>
      </c>
      <c r="C5" s="5" t="n">
        <v>1</v>
      </c>
    </row>
    <row r="6">
      <c r="A6" s="4" t="inlineStr">
        <is>
          <t>Full reference set</t>
        </is>
      </c>
      <c r="B6" s="4" t="inlineStr">
        <is>
          <t>DRB1*11:01</t>
        </is>
      </c>
      <c r="C6" s="5" t="n">
        <v>1</v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Validation — PtxS1 — MHC II</t>
        </is>
      </c>
    </row>
    <row r="2">
      <c r="A2" s="3" t="inlineStr">
        <is>
          <t>Set</t>
        </is>
      </c>
      <c r="B2" s="3" t="inlineStr">
        <is>
          <t>Antigen</t>
        </is>
      </c>
      <c r="C2" s="3" t="inlineStr">
        <is>
          <t>Tool</t>
        </is>
      </c>
      <c r="D2" s="3" t="inlineStr">
        <is>
          <t>Expected_unique_alleles_in_dataset</t>
        </is>
      </c>
      <c r="E2" s="3" t="inlineStr">
        <is>
          <t>Rows_for_tool_in_output</t>
        </is>
      </c>
      <c r="F2" s="3" t="inlineStr">
        <is>
          <t>Allele_count_OK</t>
        </is>
      </c>
    </row>
    <row r="3">
      <c r="A3" s="4" t="inlineStr">
        <is>
          <t>Evaluable set</t>
        </is>
      </c>
      <c r="B3" s="4" t="inlineStr">
        <is>
          <t>PtxS1</t>
        </is>
      </c>
      <c r="C3" s="5" t="inlineStr">
        <is>
          <t>IEDB II</t>
        </is>
      </c>
      <c r="D3" s="5" t="n">
        <v>2</v>
      </c>
      <c r="E3" s="5" t="n">
        <v>2</v>
      </c>
      <c r="F3" s="5" t="b">
        <v>1</v>
      </c>
    </row>
    <row r="4">
      <c r="A4" s="4" t="inlineStr">
        <is>
          <t>Evaluable set</t>
        </is>
      </c>
      <c r="B4" s="4" t="inlineStr">
        <is>
          <t>PtxS1</t>
        </is>
      </c>
      <c r="C4" s="5" t="inlineStr">
        <is>
          <t>NetMHC II</t>
        </is>
      </c>
      <c r="D4" s="5" t="n">
        <v>2</v>
      </c>
      <c r="E4" s="5" t="n">
        <v>2</v>
      </c>
      <c r="F4" s="5" t="b">
        <v>1</v>
      </c>
    </row>
    <row r="5">
      <c r="A5" s="4" t="inlineStr">
        <is>
          <t>Evaluable set</t>
        </is>
      </c>
      <c r="B5" s="4" t="inlineStr">
        <is>
          <t>PtxS1</t>
        </is>
      </c>
      <c r="C5" s="5" t="inlineStr">
        <is>
          <t>NetMHCIIpan</t>
        </is>
      </c>
      <c r="D5" s="5" t="n">
        <v>2</v>
      </c>
      <c r="E5" s="5" t="n">
        <v>2</v>
      </c>
      <c r="F5" s="5" t="b">
        <v>1</v>
      </c>
    </row>
    <row r="6">
      <c r="A6" s="4" t="inlineStr">
        <is>
          <t>Full reference set</t>
        </is>
      </c>
      <c r="B6" s="4" t="inlineStr">
        <is>
          <t>PtxS1</t>
        </is>
      </c>
      <c r="C6" s="5" t="inlineStr">
        <is>
          <t>IEDB II</t>
        </is>
      </c>
      <c r="D6" s="5" t="n">
        <v>2</v>
      </c>
      <c r="E6" s="5" t="n">
        <v>2</v>
      </c>
      <c r="F6" s="5" t="b">
        <v>1</v>
      </c>
    </row>
    <row r="7">
      <c r="A7" s="4" t="inlineStr">
        <is>
          <t>Full reference set</t>
        </is>
      </c>
      <c r="B7" s="4" t="inlineStr">
        <is>
          <t>PtxS1</t>
        </is>
      </c>
      <c r="C7" s="5" t="inlineStr">
        <is>
          <t>NetMHC II</t>
        </is>
      </c>
      <c r="D7" s="5" t="n">
        <v>2</v>
      </c>
      <c r="E7" s="5" t="n">
        <v>2</v>
      </c>
      <c r="F7" s="5" t="b">
        <v>1</v>
      </c>
    </row>
    <row r="8">
      <c r="A8" s="4" t="inlineStr">
        <is>
          <t>Full reference set</t>
        </is>
      </c>
      <c r="B8" s="4" t="inlineStr">
        <is>
          <t>PtxS1</t>
        </is>
      </c>
      <c r="C8" s="5" t="inlineStr">
        <is>
          <t>NetMHCIIpan</t>
        </is>
      </c>
      <c r="D8" s="5" t="n">
        <v>2</v>
      </c>
      <c r="E8" s="5" t="n">
        <v>2</v>
      </c>
      <c r="F8" s="5" t="b">
        <v>1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6" customWidth="1" min="11" max="11"/>
    <col width="18" customWidth="1" min="12" max="12"/>
  </cols>
  <sheetData>
    <row r="1">
      <c r="A1" s="2" t="inlineStr">
        <is>
          <t>Input files — PtxS1 — MHC II</t>
        </is>
      </c>
    </row>
    <row r="2">
      <c r="A2" s="3" t="inlineStr">
        <is>
          <t>Antigen</t>
        </is>
      </c>
      <c r="B2" s="3" t="inlineStr">
        <is>
          <t>Kind</t>
        </is>
      </c>
      <c r="C2" s="3" t="inlineStr">
        <is>
          <t>Path</t>
        </is>
      </c>
      <c r="D2" s="3" t="inlineStr">
        <is>
          <t>Sheet</t>
        </is>
      </c>
      <c r="E2" s="3" t="inlineStr">
        <is>
          <t>Allele_col</t>
        </is>
      </c>
      <c r="F2" s="3" t="inlineStr">
        <is>
          <t>Peptide_col</t>
        </is>
      </c>
      <c r="G2" s="3" t="inlineStr">
        <is>
          <t>Status</t>
        </is>
      </c>
      <c r="H2" s="3" t="inlineStr">
        <is>
          <t>Pairs_after_file_dedup</t>
        </is>
      </c>
      <c r="I2" s="3" t="inlineStr">
        <is>
          <t>Unique_alleles</t>
        </is>
      </c>
      <c r="J2" s="3" t="inlineStr">
        <is>
          <t>Message</t>
        </is>
      </c>
      <c r="K2" s="3" t="inlineStr">
        <is>
          <t>Tool</t>
        </is>
      </c>
      <c r="L2" s="3" t="inlineStr">
        <is>
          <t>Source</t>
        </is>
      </c>
    </row>
    <row r="3">
      <c r="A3" s="4" t="inlineStr">
        <is>
          <t>PtxS1</t>
        </is>
      </c>
      <c r="B3" s="4" t="inlineStr">
        <is>
          <t>DATASET</t>
        </is>
      </c>
      <c r="C3" s="5" t="inlineStr">
        <is>
          <t>/home/asik/Избранное/Review preparation/Контроль/Запуски тулов на PtxS1/PtxS1.xlsx</t>
        </is>
      </c>
      <c r="D3" s="5" t="inlineStr">
        <is>
          <t>Sheet1</t>
        </is>
      </c>
      <c r="E3" s="5" t="inlineStr">
        <is>
          <t>HLA allele.1</t>
        </is>
      </c>
      <c r="F3" s="5" t="inlineStr">
        <is>
          <t>HTL epitopes</t>
        </is>
      </c>
      <c r="G3" s="5" t="inlineStr">
        <is>
          <t>OK</t>
        </is>
      </c>
      <c r="H3" s="5" t="n">
        <v>2</v>
      </c>
      <c r="I3" s="5" t="n">
        <v>2</v>
      </c>
      <c r="J3" s="5" t="inlineStr"/>
      <c r="K3" s="5" t="inlineStr"/>
      <c r="L3" s="5" t="inlineStr"/>
    </row>
    <row r="4">
      <c r="A4" s="4" t="inlineStr">
        <is>
          <t>PtxS1</t>
        </is>
      </c>
      <c r="B4" s="4" t="inlineStr">
        <is>
          <t>RM</t>
        </is>
      </c>
      <c r="C4" s="5" t="inlineStr">
        <is>
          <t>/home/asik/Избранное/Review preparation/Контроль/Запуски тулов на PtxS1/Matches MHC II/Matches IEDB_II_Consensus/RM_PtxS1_IEDB_II_Consensus.xlsx</t>
        </is>
      </c>
      <c r="D4" s="5" t="inlineStr">
        <is>
          <t>Union_OR</t>
        </is>
      </c>
      <c r="E4" s="5" t="inlineStr"/>
      <c r="F4" s="5" t="inlineStr"/>
      <c r="G4" s="5" t="inlineStr">
        <is>
          <t>OK</t>
        </is>
      </c>
      <c r="H4" s="5" t="n">
        <v>2</v>
      </c>
      <c r="I4" s="5" t="inlineStr"/>
      <c r="J4" s="5" t="inlineStr"/>
      <c r="K4" s="5" t="inlineStr">
        <is>
          <t>IEDB II</t>
        </is>
      </c>
      <c r="L4" s="5" t="inlineStr">
        <is>
          <t>IEDB_II_Consensus</t>
        </is>
      </c>
    </row>
    <row r="5">
      <c r="A5" s="4" t="inlineStr">
        <is>
          <t>PtxS1</t>
        </is>
      </c>
      <c r="B5" s="4" t="inlineStr">
        <is>
          <t>UP</t>
        </is>
      </c>
      <c r="C5" s="5" t="inlineStr">
        <is>
          <t>/home/asik/Избранное/Review preparation/Контроль/Запуски тулов на PtxS1/Matches MHC II/Matches IEDB_II_Consensus/UP_PtxS1_IEDB_II_Consensus.xlsx</t>
        </is>
      </c>
      <c r="D5" s="5" t="inlineStr">
        <is>
          <t>Union_OR</t>
        </is>
      </c>
      <c r="E5" s="5" t="inlineStr"/>
      <c r="F5" s="5" t="inlineStr"/>
      <c r="G5" s="5" t="inlineStr">
        <is>
          <t>OK</t>
        </is>
      </c>
      <c r="H5" s="5" t="n">
        <v>3209</v>
      </c>
      <c r="I5" s="5" t="inlineStr"/>
      <c r="J5" s="5" t="inlineStr"/>
      <c r="K5" s="5" t="inlineStr">
        <is>
          <t>IEDB II</t>
        </is>
      </c>
      <c r="L5" s="5" t="inlineStr">
        <is>
          <t>IEDB_II_Consensus</t>
        </is>
      </c>
    </row>
    <row r="6">
      <c r="A6" s="4" t="inlineStr">
        <is>
          <t>PtxS1</t>
        </is>
      </c>
      <c r="B6" s="4" t="inlineStr">
        <is>
          <t>RM</t>
        </is>
      </c>
      <c r="C6" s="5" t="inlineStr">
        <is>
          <t>/home/asik/Избранное/Review preparation/Контроль/Запуски тулов на PtxS1/Matches MHC II/Matches IEDB_II_NetMHCIIpan_4.1_BA/RM_PtxS1_IEDB_II_NetMHCIIpan_4.1_BA.xlsx</t>
        </is>
      </c>
      <c r="D6" s="5" t="inlineStr">
        <is>
          <t>Union_OR</t>
        </is>
      </c>
      <c r="E6" s="5" t="inlineStr"/>
      <c r="F6" s="5" t="inlineStr"/>
      <c r="G6" s="5" t="inlineStr">
        <is>
          <t>OK</t>
        </is>
      </c>
      <c r="H6" s="5" t="n">
        <v>1</v>
      </c>
      <c r="I6" s="5" t="inlineStr"/>
      <c r="J6" s="5" t="inlineStr"/>
      <c r="K6" s="5" t="inlineStr">
        <is>
          <t>IEDB II</t>
        </is>
      </c>
      <c r="L6" s="5" t="inlineStr">
        <is>
          <t>IEDB_II_NetMHCIIpan_4.1_BA</t>
        </is>
      </c>
    </row>
    <row r="7">
      <c r="A7" s="4" t="inlineStr">
        <is>
          <t>PtxS1</t>
        </is>
      </c>
      <c r="B7" s="4" t="inlineStr">
        <is>
          <t>UP</t>
        </is>
      </c>
      <c r="C7" s="5" t="inlineStr">
        <is>
          <t>/home/asik/Избранное/Review preparation/Контроль/Запуски тулов на PtxS1/Matches MHC II/Matches IEDB_II_NetMHCIIpan_4.1_BA/UP_PtxS1_IEDB_II_NetMHCIIpan_4.1_BA.xlsx</t>
        </is>
      </c>
      <c r="D7" s="5" t="inlineStr">
        <is>
          <t>Union_OR</t>
        </is>
      </c>
      <c r="E7" s="5" t="inlineStr"/>
      <c r="F7" s="5" t="inlineStr"/>
      <c r="G7" s="5" t="inlineStr">
        <is>
          <t>OK</t>
        </is>
      </c>
      <c r="H7" s="5" t="n">
        <v>2117</v>
      </c>
      <c r="I7" s="5" t="inlineStr"/>
      <c r="J7" s="5" t="inlineStr"/>
      <c r="K7" s="5" t="inlineStr">
        <is>
          <t>IEDB II</t>
        </is>
      </c>
      <c r="L7" s="5" t="inlineStr">
        <is>
          <t>IEDB_II_NetMHCIIpan_4.1_BA</t>
        </is>
      </c>
    </row>
    <row r="8">
      <c r="A8" s="4" t="inlineStr">
        <is>
          <t>PtxS1</t>
        </is>
      </c>
      <c r="B8" s="4" t="inlineStr">
        <is>
          <t>RM</t>
        </is>
      </c>
      <c r="C8" s="5" t="inlineStr">
        <is>
          <t>/home/asik/Избранное/Review preparation/Контроль/Запуски тулов на PtxS1/Matches MHC II/Matches IEDB_II_NetMHCIIpan_4.1_EL/RM_PtxS1_IEDB_II_NetMHCIIpan_4.1_EL.xlsx</t>
        </is>
      </c>
      <c r="D8" s="5" t="inlineStr">
        <is>
          <t>Union_OR</t>
        </is>
      </c>
      <c r="E8" s="5" t="inlineStr"/>
      <c r="F8" s="5" t="inlineStr"/>
      <c r="G8" s="5" t="inlineStr">
        <is>
          <t>OK</t>
        </is>
      </c>
      <c r="H8" s="5" t="n">
        <v>1</v>
      </c>
      <c r="I8" s="5" t="inlineStr"/>
      <c r="J8" s="5" t="inlineStr"/>
      <c r="K8" s="5" t="inlineStr">
        <is>
          <t>IEDB II</t>
        </is>
      </c>
      <c r="L8" s="5" t="inlineStr">
        <is>
          <t>IEDB_II_NetMHCIIpan_4.1_EL</t>
        </is>
      </c>
    </row>
    <row r="9">
      <c r="A9" s="4" t="inlineStr">
        <is>
          <t>PtxS1</t>
        </is>
      </c>
      <c r="B9" s="4" t="inlineStr">
        <is>
          <t>UP</t>
        </is>
      </c>
      <c r="C9" s="5" t="inlineStr">
        <is>
          <t>/home/asik/Избранное/Review preparation/Контроль/Запуски тулов на PtxS1/Matches MHC II/Matches IEDB_II_NetMHCIIpan_4.1_EL/UP_PtxS1_IEDB_II_NetMHCIIpan_4.1_EL.xlsx</t>
        </is>
      </c>
      <c r="D9" s="5" t="inlineStr">
        <is>
          <t>Union_OR</t>
        </is>
      </c>
      <c r="E9" s="5" t="inlineStr"/>
      <c r="F9" s="5" t="inlineStr"/>
      <c r="G9" s="5" t="inlineStr">
        <is>
          <t>OK</t>
        </is>
      </c>
      <c r="H9" s="5" t="n">
        <v>429</v>
      </c>
      <c r="I9" s="5" t="inlineStr"/>
      <c r="J9" s="5" t="inlineStr"/>
      <c r="K9" s="5" t="inlineStr">
        <is>
          <t>IEDB II</t>
        </is>
      </c>
      <c r="L9" s="5" t="inlineStr">
        <is>
          <t>IEDB_II_NetMHCIIpan_4.1_EL</t>
        </is>
      </c>
    </row>
    <row r="10">
      <c r="A10" s="4" t="inlineStr">
        <is>
          <t>PtxS1</t>
        </is>
      </c>
      <c r="B10" s="4" t="inlineStr">
        <is>
          <t>RM</t>
        </is>
      </c>
      <c r="C10" s="5" t="inlineStr">
        <is>
          <t>/home/asik/Избранное/Review preparation/Контроль/Запуски тулов на PtxS1/Matches MHC II/Matches NetMHC_II_2.3/RM_PtxS1_NetMHC_II_2.3.xlsx</t>
        </is>
      </c>
      <c r="D10" s="5" t="inlineStr">
        <is>
          <t>Union_OR</t>
        </is>
      </c>
      <c r="E10" s="5" t="inlineStr"/>
      <c r="F10" s="5" t="inlineStr"/>
      <c r="G10" s="5" t="inlineStr">
        <is>
          <t>OK</t>
        </is>
      </c>
      <c r="H10" s="5" t="n">
        <v>2</v>
      </c>
      <c r="I10" s="5" t="inlineStr"/>
      <c r="J10" s="5" t="inlineStr"/>
      <c r="K10" s="5" t="inlineStr">
        <is>
          <t>NetMHC II</t>
        </is>
      </c>
      <c r="L10" s="5" t="inlineStr">
        <is>
          <t>NetMHC_II_2.3</t>
        </is>
      </c>
    </row>
    <row r="11">
      <c r="A11" s="4" t="inlineStr">
        <is>
          <t>PtxS1</t>
        </is>
      </c>
      <c r="B11" s="4" t="inlineStr">
        <is>
          <t>UP</t>
        </is>
      </c>
      <c r="C11" s="5" t="inlineStr">
        <is>
          <t>/home/asik/Избранное/Review preparation/Контроль/Запуски тулов на PtxS1/Matches MHC II/Matches NetMHC_II_2.3/UP_PtxS1_NetMHC_II_2.3.xlsx</t>
        </is>
      </c>
      <c r="D11" s="5" t="inlineStr">
        <is>
          <t>Union_OR</t>
        </is>
      </c>
      <c r="E11" s="5" t="inlineStr"/>
      <c r="F11" s="5" t="inlineStr"/>
      <c r="G11" s="5" t="inlineStr">
        <is>
          <t>OK</t>
        </is>
      </c>
      <c r="H11" s="5" t="n">
        <v>2907</v>
      </c>
      <c r="I11" s="5" t="inlineStr"/>
      <c r="J11" s="5" t="inlineStr"/>
      <c r="K11" s="5" t="inlineStr">
        <is>
          <t>NetMHC II</t>
        </is>
      </c>
      <c r="L11" s="5" t="inlineStr">
        <is>
          <t>NetMHC_II_2.3</t>
        </is>
      </c>
    </row>
    <row r="12">
      <c r="A12" s="4" t="inlineStr">
        <is>
          <t>PtxS1</t>
        </is>
      </c>
      <c r="B12" s="4" t="inlineStr">
        <is>
          <t>RM</t>
        </is>
      </c>
      <c r="C12" s="5" t="inlineStr">
        <is>
          <t>/home/asik/Избранное/Review preparation/Контроль/Запуски тулов на PtxS1/Matches MHC II/Matches NetMHCIIpan_4.1/RM_PtxS1_NetMHCIIpan_4.1.xlsx</t>
        </is>
      </c>
      <c r="D12" s="5" t="inlineStr">
        <is>
          <t>Union_OR</t>
        </is>
      </c>
      <c r="E12" s="5" t="inlineStr"/>
      <c r="F12" s="5" t="inlineStr"/>
      <c r="G12" s="5" t="inlineStr">
        <is>
          <t>OK</t>
        </is>
      </c>
      <c r="H12" s="5" t="n">
        <v>1</v>
      </c>
      <c r="I12" s="5" t="inlineStr"/>
      <c r="J12" s="5" t="inlineStr"/>
      <c r="K12" s="5" t="inlineStr">
        <is>
          <t>NetMHCIIpan</t>
        </is>
      </c>
      <c r="L12" s="5" t="inlineStr">
        <is>
          <t>NetMHCIIpan_4.1</t>
        </is>
      </c>
    </row>
    <row r="13">
      <c r="A13" s="4" t="inlineStr">
        <is>
          <t>PtxS1</t>
        </is>
      </c>
      <c r="B13" s="4" t="inlineStr">
        <is>
          <t>UP</t>
        </is>
      </c>
      <c r="C13" s="5" t="inlineStr">
        <is>
          <t>/home/asik/Избранное/Review preparation/Контроль/Запуски тулов на PtxS1/Matches MHC II/Matches NetMHCIIpan_4.1/UP_PtxS1_NetMHCIIpan_4.1.xlsx</t>
        </is>
      </c>
      <c r="D13" s="5" t="inlineStr">
        <is>
          <t>Union_OR</t>
        </is>
      </c>
      <c r="E13" s="5" t="inlineStr"/>
      <c r="F13" s="5" t="inlineStr"/>
      <c r="G13" s="5" t="inlineStr">
        <is>
          <t>OK</t>
        </is>
      </c>
      <c r="H13" s="5" t="n">
        <v>2128</v>
      </c>
      <c r="I13" s="5" t="inlineStr"/>
      <c r="J13" s="5" t="inlineStr"/>
      <c r="K13" s="5" t="inlineStr">
        <is>
          <t>NetMHCIIpan</t>
        </is>
      </c>
      <c r="L13" s="5" t="inlineStr">
        <is>
          <t>NetMHCIIpan_4.1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2026-09-19T21:00:17Z</dcterms:created>
  <dcterms:modified xmlns:dcterms="http://purl.org/dc/terms/" xmlns:xsi="http://www.w3.org/2001/XMLSchema-instance" xsi:type="dcterms:W3CDTF">2026-09-19T21:00:17Z</dcterms:modified>
</cp:coreProperties>
</file>