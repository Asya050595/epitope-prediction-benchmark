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" sheetId="1" state="visible" r:id="rId1"/>
    <sheet xmlns:r="http://schemas.openxmlformats.org/officeDocument/2006/relationships" name="Full_reference_set" sheetId="2" state="visible" r:id="rId2"/>
    <sheet xmlns:r="http://schemas.openxmlformats.org/officeDocument/2006/relationships" name="Input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valuable_II_p24" displayName="Evaluable_II_p24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_II_p24" displayName="FullReference_II_p24" ref="A2:E5" headerRowCount="1">
  <autoFilter ref="A2:E5"/>
  <tableColumns count="5">
    <tableColumn id="1" name="Tool"/>
    <tableColumn id="2" name="Reference pairs"/>
    <tableColumn id="3" name="RM"/>
    <tableColumn id="4" name="UP"/>
    <tableColumn id="5" name="Recovery rat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Evaluable set — p24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76</v>
      </c>
      <c r="C3" s="5" t="n">
        <v>56</v>
      </c>
      <c r="D3" s="5" t="n">
        <v>20</v>
      </c>
      <c r="E3" s="6">
        <f>IF((C3+D3)=0,"",C3/(C3+D3)*100)</f>
        <v/>
      </c>
    </row>
    <row r="4">
      <c r="A4" s="4" t="inlineStr">
        <is>
          <t>NetMHC II</t>
        </is>
      </c>
      <c r="B4" s="5" t="n">
        <v>76</v>
      </c>
      <c r="C4" s="5" t="n">
        <v>52</v>
      </c>
      <c r="D4" s="5" t="n">
        <v>24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76</v>
      </c>
      <c r="C5" s="5" t="n">
        <v>52</v>
      </c>
      <c r="D5" s="5" t="n">
        <v>24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>
      <c r="A1" s="2" t="inlineStr">
        <is>
          <t>Full reference set — p24 — MHC II</t>
        </is>
      </c>
    </row>
    <row r="2">
      <c r="A2" s="3" t="inlineStr">
        <is>
          <t>Tool</t>
        </is>
      </c>
      <c r="B2" s="3" t="inlineStr">
        <is>
          <t>Reference pairs</t>
        </is>
      </c>
      <c r="C2" s="3" t="inlineStr">
        <is>
          <t>RM</t>
        </is>
      </c>
      <c r="D2" s="3" t="inlineStr">
        <is>
          <t>UP</t>
        </is>
      </c>
      <c r="E2" s="3" t="inlineStr">
        <is>
          <t>Recovery rate (%)</t>
        </is>
      </c>
    </row>
    <row r="3">
      <c r="A3" s="4" t="inlineStr">
        <is>
          <t>IEDB II</t>
        </is>
      </c>
      <c r="B3" s="5" t="n">
        <v>95</v>
      </c>
      <c r="C3" s="5" t="n">
        <v>56</v>
      </c>
      <c r="D3" s="5" t="n">
        <v>39</v>
      </c>
      <c r="E3" s="6">
        <f>IF((C3+D3)=0,"",C3/(C3+D3)*100)</f>
        <v/>
      </c>
    </row>
    <row r="4">
      <c r="A4" s="4" t="inlineStr">
        <is>
          <t>NetMHC II</t>
        </is>
      </c>
      <c r="B4" s="5" t="n">
        <v>95</v>
      </c>
      <c r="C4" s="5" t="n">
        <v>59</v>
      </c>
      <c r="D4" s="5" t="n">
        <v>36</v>
      </c>
      <c r="E4" s="6">
        <f>IF((C4+D4)=0,"",C4/(C4+D4)*100)</f>
        <v/>
      </c>
    </row>
    <row r="5">
      <c r="A5" s="4" t="inlineStr">
        <is>
          <t>NetMHCIIpan</t>
        </is>
      </c>
      <c r="B5" s="5" t="n">
        <v>95</v>
      </c>
      <c r="C5" s="5" t="n">
        <v>68</v>
      </c>
      <c r="D5" s="5" t="n">
        <v>27</v>
      </c>
      <c r="E5" s="6">
        <f>IF((C5+D5)=0,"",C5/(C5+D5)*100)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8" customWidth="1" min="4" max="4"/>
    <col width="80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Antigen</t>
        </is>
      </c>
      <c r="B1" s="3" t="inlineStr">
        <is>
          <t>Tool</t>
        </is>
      </c>
      <c r="C1" s="3" t="inlineStr">
        <is>
          <t>Source</t>
        </is>
      </c>
      <c r="D1" s="3" t="inlineStr">
        <is>
          <t>Kind</t>
        </is>
      </c>
      <c r="E1" s="3" t="inlineStr">
        <is>
          <t>Path</t>
        </is>
      </c>
      <c r="F1" s="3" t="inlineStr">
        <is>
          <t>Sheet</t>
        </is>
      </c>
      <c r="G1" s="3" t="inlineStr">
        <is>
          <t>Status</t>
        </is>
      </c>
      <c r="H1" s="3" t="inlineStr">
        <is>
          <t>Pairs_after_file_dedup</t>
        </is>
      </c>
      <c r="I1" s="3" t="inlineStr">
        <is>
          <t>Message</t>
        </is>
      </c>
    </row>
    <row r="2">
      <c r="A2" s="7" t="inlineStr">
        <is>
          <t>p24</t>
        </is>
      </c>
      <c r="B2" s="7" t="inlineStr">
        <is>
          <t>REFERENCE_DATASET</t>
        </is>
      </c>
      <c r="C2" s="7" t="inlineStr"/>
      <c r="D2" s="7" t="inlineStr">
        <is>
          <t>DATASET</t>
        </is>
      </c>
      <c r="E2" s="7" t="inlineStr">
        <is>
          <t>/home/asik/Избранное/Review preparation/Контроль/Запуски тулов на p24/p24.xlsx</t>
        </is>
      </c>
      <c r="F2" s="7" t="inlineStr">
        <is>
          <t>Sheet1</t>
        </is>
      </c>
      <c r="G2" s="7" t="inlineStr">
        <is>
          <t>OK</t>
        </is>
      </c>
      <c r="H2" s="7" t="n">
        <v>95</v>
      </c>
      <c r="I2" s="7" t="inlineStr"/>
    </row>
    <row r="3">
      <c r="A3" s="7" t="inlineStr">
        <is>
          <t>p24</t>
        </is>
      </c>
      <c r="B3" s="7" t="inlineStr">
        <is>
          <t>IEDB II</t>
        </is>
      </c>
      <c r="C3" s="7" t="inlineStr">
        <is>
          <t>IEDB_II_Consensus</t>
        </is>
      </c>
      <c r="D3" s="7" t="inlineStr">
        <is>
          <t>RM</t>
        </is>
      </c>
      <c r="E3" s="7" t="inlineStr">
        <is>
          <t>/home/asik/Избранное/Review preparation/Контроль/Запуски тулов на p24/Matches MHC II/Matches IEDB_II_Consensus/RM_p24_IEDB_II_Consensus.xlsx</t>
        </is>
      </c>
      <c r="F3" s="7" t="inlineStr">
        <is>
          <t>Union_OR</t>
        </is>
      </c>
      <c r="G3" s="7" t="inlineStr">
        <is>
          <t>OK</t>
        </is>
      </c>
      <c r="H3" s="7" t="n">
        <v>56</v>
      </c>
      <c r="I3" s="7" t="inlineStr"/>
    </row>
    <row r="4">
      <c r="A4" s="7" t="inlineStr">
        <is>
          <t>p24</t>
        </is>
      </c>
      <c r="B4" s="7" t="inlineStr">
        <is>
          <t>IEDB II</t>
        </is>
      </c>
      <c r="C4" s="7" t="inlineStr">
        <is>
          <t>IEDB_II_Consensus</t>
        </is>
      </c>
      <c r="D4" s="7" t="inlineStr">
        <is>
          <t>UP</t>
        </is>
      </c>
      <c r="E4" s="7" t="inlineStr">
        <is>
          <t>/home/asik/Избранное/Review preparation/Контроль/Запуски тулов на p24/Matches MHC II/Matches IEDB_II_Consensus/UP_p24_IEDB_II_Consensus.xlsx</t>
        </is>
      </c>
      <c r="F4" s="7" t="inlineStr">
        <is>
          <t>Union_OR</t>
        </is>
      </c>
      <c r="G4" s="7" t="inlineStr">
        <is>
          <t>OK</t>
        </is>
      </c>
      <c r="H4" s="7" t="n">
        <v>13221</v>
      </c>
      <c r="I4" s="7" t="inlineStr"/>
    </row>
    <row r="5">
      <c r="A5" s="7" t="inlineStr">
        <is>
          <t>p24</t>
        </is>
      </c>
      <c r="B5" s="7" t="inlineStr">
        <is>
          <t>IEDB II</t>
        </is>
      </c>
      <c r="C5" s="7" t="inlineStr">
        <is>
          <t>IEDB_II_NetMHCIIpan_4.1_BA</t>
        </is>
      </c>
      <c r="D5" s="7" t="inlineStr">
        <is>
          <t>RM</t>
        </is>
      </c>
      <c r="E5" s="7" t="inlineStr">
        <is>
          <t>/home/asik/Избранное/Review preparation/Контроль/Запуски тулов на p24/Matches MHC II/Matches IEDB_II_NetMHCIIpan_4.1_BA/RM_p24_IEDB_II_NetMHCIIpan_4.1_BA.xlsx</t>
        </is>
      </c>
      <c r="F5" s="7" t="inlineStr">
        <is>
          <t>Union_OR</t>
        </is>
      </c>
      <c r="G5" s="7" t="inlineStr">
        <is>
          <t>OK</t>
        </is>
      </c>
      <c r="H5" s="7" t="n">
        <v>52</v>
      </c>
      <c r="I5" s="7" t="inlineStr"/>
    </row>
    <row r="6">
      <c r="A6" s="7" t="inlineStr">
        <is>
          <t>p24</t>
        </is>
      </c>
      <c r="B6" s="7" t="inlineStr">
        <is>
          <t>IEDB II</t>
        </is>
      </c>
      <c r="C6" s="7" t="inlineStr">
        <is>
          <t>IEDB_II_NetMHCIIpan_4.1_BA</t>
        </is>
      </c>
      <c r="D6" s="7" t="inlineStr">
        <is>
          <t>UP</t>
        </is>
      </c>
      <c r="E6" s="7" t="inlineStr">
        <is>
          <t>/home/asik/Избранное/Review preparation/Контроль/Запуски тулов на p24/Matches MHC II/Matches IEDB_II_NetMHCIIpan_4.1_BA/UP_p24_IEDB_II_NetMHCIIpan_4.1_BA.xlsx</t>
        </is>
      </c>
      <c r="F6" s="7" t="inlineStr">
        <is>
          <t>Union_OR</t>
        </is>
      </c>
      <c r="G6" s="7" t="inlineStr">
        <is>
          <t>OK</t>
        </is>
      </c>
      <c r="H6" s="7" t="n">
        <v>9045</v>
      </c>
      <c r="I6" s="7" t="inlineStr"/>
    </row>
    <row r="7">
      <c r="A7" s="7" t="inlineStr">
        <is>
          <t>p24</t>
        </is>
      </c>
      <c r="B7" s="7" t="inlineStr">
        <is>
          <t>IEDB II</t>
        </is>
      </c>
      <c r="C7" s="7" t="inlineStr">
        <is>
          <t>IEDB_II_NetMHCIIpan_4.1_EL</t>
        </is>
      </c>
      <c r="D7" s="7" t="inlineStr">
        <is>
          <t>RM</t>
        </is>
      </c>
      <c r="E7" s="7" t="inlineStr">
        <is>
          <t>/home/asik/Избранное/Review preparation/Контроль/Запуски тулов на p24/Matches MHC II/Matches IEDB_II_NetMHCIIpan_4.1_EL/RM_p24_IEDB_II_NetMHCIIpan_4.1_EL.xlsx</t>
        </is>
      </c>
      <c r="F7" s="7" t="inlineStr">
        <is>
          <t>Union_OR</t>
        </is>
      </c>
      <c r="G7" s="7" t="inlineStr">
        <is>
          <t>OK</t>
        </is>
      </c>
      <c r="H7" s="7" t="n">
        <v>33</v>
      </c>
      <c r="I7" s="7" t="inlineStr"/>
    </row>
    <row r="8">
      <c r="A8" s="7" t="inlineStr">
        <is>
          <t>p24</t>
        </is>
      </c>
      <c r="B8" s="7" t="inlineStr">
        <is>
          <t>IEDB II</t>
        </is>
      </c>
      <c r="C8" s="7" t="inlineStr">
        <is>
          <t>IEDB_II_NetMHCIIpan_4.1_EL</t>
        </is>
      </c>
      <c r="D8" s="7" t="inlineStr">
        <is>
          <t>UP</t>
        </is>
      </c>
      <c r="E8" s="7" t="inlineStr">
        <is>
          <t>/home/asik/Избранное/Review preparation/Контроль/Запуски тулов на p24/Matches MHC II/Matches IEDB_II_NetMHCIIpan_4.1_EL/UP_p24_IEDB_II_NetMHCIIpan_4.1_EL.xlsx</t>
        </is>
      </c>
      <c r="F8" s="7" t="inlineStr">
        <is>
          <t>Union_OR</t>
        </is>
      </c>
      <c r="G8" s="7" t="inlineStr">
        <is>
          <t>OK</t>
        </is>
      </c>
      <c r="H8" s="7" t="n">
        <v>2027</v>
      </c>
      <c r="I8" s="7" t="inlineStr"/>
    </row>
    <row r="9">
      <c r="A9" s="7" t="inlineStr">
        <is>
          <t>p24</t>
        </is>
      </c>
      <c r="B9" s="7" t="inlineStr">
        <is>
          <t>NetMHC II</t>
        </is>
      </c>
      <c r="C9" s="7" t="inlineStr">
        <is>
          <t>NetMHC_II_2.3</t>
        </is>
      </c>
      <c r="D9" s="7" t="inlineStr">
        <is>
          <t>RM</t>
        </is>
      </c>
      <c r="E9" s="7" t="inlineStr">
        <is>
          <t>/home/asik/Избранное/Review preparation/Контроль/Запуски тулов на p24/Matches MHC II/Matches NetMHC_II_2.3/RM_p24_NetMHC_II_2.3.xlsx</t>
        </is>
      </c>
      <c r="F9" s="7" t="inlineStr">
        <is>
          <t>Union_OR</t>
        </is>
      </c>
      <c r="G9" s="7" t="inlineStr">
        <is>
          <t>OK</t>
        </is>
      </c>
      <c r="H9" s="7" t="n">
        <v>59</v>
      </c>
      <c r="I9" s="7" t="inlineStr"/>
    </row>
    <row r="10">
      <c r="A10" s="7" t="inlineStr">
        <is>
          <t>p24</t>
        </is>
      </c>
      <c r="B10" s="7" t="inlineStr">
        <is>
          <t>NetMHC II</t>
        </is>
      </c>
      <c r="C10" s="7" t="inlineStr">
        <is>
          <t>NetMHC_II_2.3</t>
        </is>
      </c>
      <c r="D10" s="7" t="inlineStr">
        <is>
          <t>UP</t>
        </is>
      </c>
      <c r="E10" s="7" t="inlineStr">
        <is>
          <t>/home/asik/Избранное/Review preparation/Контроль/Запуски тулов на p24/Matches MHC II/Matches NetMHC_II_2.3/UP_p24_NetMHC_II_2.3.xlsx</t>
        </is>
      </c>
      <c r="F10" s="7" t="inlineStr">
        <is>
          <t>Union_OR</t>
        </is>
      </c>
      <c r="G10" s="7" t="inlineStr">
        <is>
          <t>OK</t>
        </is>
      </c>
      <c r="H10" s="7" t="n">
        <v>17978</v>
      </c>
      <c r="I10" s="7" t="inlineStr"/>
    </row>
    <row r="11">
      <c r="A11" s="7" t="inlineStr">
        <is>
          <t>p24</t>
        </is>
      </c>
      <c r="B11" s="7" t="inlineStr">
        <is>
          <t>NetMHCIIpan</t>
        </is>
      </c>
      <c r="C11" s="7" t="inlineStr">
        <is>
          <t>NetMHCIIpan_4.1</t>
        </is>
      </c>
      <c r="D11" s="7" t="inlineStr">
        <is>
          <t>RM</t>
        </is>
      </c>
      <c r="E11" s="7" t="inlineStr">
        <is>
          <t>/home/asik/Избранное/Review preparation/Контроль/Запуски тулов на p24/Matches MHC II/Matches NetMHCIIpan_4.1/RM_p24_NetMHCIIpan_4.1.xlsx</t>
        </is>
      </c>
      <c r="F11" s="7" t="inlineStr">
        <is>
          <t>Union_OR</t>
        </is>
      </c>
      <c r="G11" s="7" t="inlineStr">
        <is>
          <t>OK</t>
        </is>
      </c>
      <c r="H11" s="7" t="n">
        <v>68</v>
      </c>
      <c r="I11" s="7" t="inlineStr"/>
    </row>
    <row r="12">
      <c r="A12" s="7" t="inlineStr">
        <is>
          <t>p24</t>
        </is>
      </c>
      <c r="B12" s="7" t="inlineStr">
        <is>
          <t>NetMHCIIpan</t>
        </is>
      </c>
      <c r="C12" s="7" t="inlineStr">
        <is>
          <t>NetMHCIIpan_4.1</t>
        </is>
      </c>
      <c r="D12" s="7" t="inlineStr">
        <is>
          <t>UP</t>
        </is>
      </c>
      <c r="E12" s="7" t="inlineStr">
        <is>
          <t>/home/asik/Избранное/Review preparation/Контроль/Запуски тулов на p24/Matches MHC II/Matches NetMHCIIpan_4.1/UP_p24_NetMHCIIpan_4.1.xlsx</t>
        </is>
      </c>
      <c r="F12" s="7" t="inlineStr">
        <is>
          <t>Union_OR</t>
        </is>
      </c>
      <c r="G12" s="7" t="inlineStr">
        <is>
          <t>OK</t>
        </is>
      </c>
      <c r="H12" s="7" t="n">
        <v>18504</v>
      </c>
      <c r="I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2026-09-19T20:59:14Z</dcterms:created>
  <dcterms:modified xmlns:dcterms="http://purl.org/dc/terms/" xmlns:xsi="http://www.w3.org/2001/XMLSchema-instance" xsi:type="dcterms:W3CDTF">2026-09-19T20:59:14Z</dcterms:modified>
</cp:coreProperties>
</file>