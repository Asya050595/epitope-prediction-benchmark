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ble_set" sheetId="1" state="visible" r:id="rId1"/>
    <sheet xmlns:r="http://schemas.openxmlformats.org/officeDocument/2006/relationships" name="Full_reference_set" sheetId="2" state="visible" r:id="rId2"/>
    <sheet xmlns:r="http://schemas.openxmlformats.org/officeDocument/2006/relationships" name="Input_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valuable_I_pp65" displayName="Evaluable_I_pp65" ref="A2:E6" headerRowCount="1">
  <autoFilter ref="A2:E6"/>
  <tableColumns count="5">
    <tableColumn id="1" name="Tool"/>
    <tableColumn id="2" name="Reference pairs"/>
    <tableColumn id="3" name="RM"/>
    <tableColumn id="4" name="UP"/>
    <tableColumn id="5" name="Recovery rat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Reference_I_pp65" displayName="FullReference_I_pp65" ref="A2:E6" headerRowCount="1">
  <autoFilter ref="A2:E6"/>
  <tableColumns count="5">
    <tableColumn id="1" name="Tool"/>
    <tableColumn id="2" name="Reference pairs"/>
    <tableColumn id="3" name="RM"/>
    <tableColumn id="4" name="UP"/>
    <tableColumn id="5" name="Recovery rate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2" t="inlineStr">
        <is>
          <t>Evaluable set — pp65 — MHC I</t>
        </is>
      </c>
    </row>
    <row r="2">
      <c r="A2" s="3" t="inlineStr">
        <is>
          <t>Tool</t>
        </is>
      </c>
      <c r="B2" s="3" t="inlineStr">
        <is>
          <t>Reference pairs</t>
        </is>
      </c>
      <c r="C2" s="3" t="inlineStr">
        <is>
          <t>RM</t>
        </is>
      </c>
      <c r="D2" s="3" t="inlineStr">
        <is>
          <t>UP</t>
        </is>
      </c>
      <c r="E2" s="3" t="inlineStr">
        <is>
          <t>Recovery rate (%)</t>
        </is>
      </c>
    </row>
    <row r="3">
      <c r="A3" s="4" t="inlineStr">
        <is>
          <t>IEDB I</t>
        </is>
      </c>
      <c r="B3" s="5" t="n">
        <v>54</v>
      </c>
      <c r="C3" s="5" t="n">
        <v>32</v>
      </c>
      <c r="D3" s="5" t="n">
        <v>22</v>
      </c>
      <c r="E3" s="6">
        <f>IF((C3+D3)=0,"",C3/(C3+D3)*100)</f>
        <v/>
      </c>
    </row>
    <row r="4">
      <c r="A4" s="4" t="inlineStr">
        <is>
          <t>NetCTL</t>
        </is>
      </c>
      <c r="B4" s="5" t="n">
        <v>54</v>
      </c>
      <c r="C4" s="5" t="n">
        <v>14</v>
      </c>
      <c r="D4" s="5" t="n">
        <v>40</v>
      </c>
      <c r="E4" s="6">
        <f>IF((C4+D4)=0,"",C4/(C4+D4)*100)</f>
        <v/>
      </c>
    </row>
    <row r="5">
      <c r="A5" s="4" t="inlineStr">
        <is>
          <t>NetMHC</t>
        </is>
      </c>
      <c r="B5" s="5" t="n">
        <v>54</v>
      </c>
      <c r="C5" s="5" t="n">
        <v>28</v>
      </c>
      <c r="D5" s="5" t="n">
        <v>26</v>
      </c>
      <c r="E5" s="6">
        <f>IF((C5+D5)=0,"",C5/(C5+D5)*100)</f>
        <v/>
      </c>
    </row>
    <row r="6">
      <c r="A6" s="4" t="inlineStr">
        <is>
          <t>NetMHCpan</t>
        </is>
      </c>
      <c r="B6" s="5" t="n">
        <v>54</v>
      </c>
      <c r="C6" s="5" t="n">
        <v>32</v>
      </c>
      <c r="D6" s="5" t="n">
        <v>22</v>
      </c>
      <c r="E6" s="6">
        <f>IF((C6+D6)=0,"",C6/(C6+D6)*100)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2" t="inlineStr">
        <is>
          <t>Full reference set — pp65 — MHC I</t>
        </is>
      </c>
    </row>
    <row r="2">
      <c r="A2" s="3" t="inlineStr">
        <is>
          <t>Tool</t>
        </is>
      </c>
      <c r="B2" s="3" t="inlineStr">
        <is>
          <t>Reference pairs</t>
        </is>
      </c>
      <c r="C2" s="3" t="inlineStr">
        <is>
          <t>RM</t>
        </is>
      </c>
      <c r="D2" s="3" t="inlineStr">
        <is>
          <t>UP</t>
        </is>
      </c>
      <c r="E2" s="3" t="inlineStr">
        <is>
          <t>Recovery rate (%)</t>
        </is>
      </c>
    </row>
    <row r="3">
      <c r="A3" s="4" t="inlineStr">
        <is>
          <t>IEDB I</t>
        </is>
      </c>
      <c r="B3" s="5" t="n">
        <v>73</v>
      </c>
      <c r="C3" s="5" t="n">
        <v>32</v>
      </c>
      <c r="D3" s="5" t="n">
        <v>41</v>
      </c>
      <c r="E3" s="6">
        <f>IF((C3+D3)=0,"",C3/(C3+D3)*100)</f>
        <v/>
      </c>
    </row>
    <row r="4">
      <c r="A4" s="4" t="inlineStr">
        <is>
          <t>NetCTL</t>
        </is>
      </c>
      <c r="B4" s="5" t="n">
        <v>73</v>
      </c>
      <c r="C4" s="5" t="n">
        <v>18</v>
      </c>
      <c r="D4" s="5" t="n">
        <v>55</v>
      </c>
      <c r="E4" s="6">
        <f>IF((C4+D4)=0,"",C4/(C4+D4)*100)</f>
        <v/>
      </c>
    </row>
    <row r="5">
      <c r="A5" s="4" t="inlineStr">
        <is>
          <t>NetMHC</t>
        </is>
      </c>
      <c r="B5" s="5" t="n">
        <v>73</v>
      </c>
      <c r="C5" s="5" t="n">
        <v>30</v>
      </c>
      <c r="D5" s="5" t="n">
        <v>43</v>
      </c>
      <c r="E5" s="6">
        <f>IF((C5+D5)=0,"",C5/(C5+D5)*100)</f>
        <v/>
      </c>
    </row>
    <row r="6">
      <c r="A6" s="4" t="inlineStr">
        <is>
          <t>NetMHCpan</t>
        </is>
      </c>
      <c r="B6" s="5" t="n">
        <v>73</v>
      </c>
      <c r="C6" s="5" t="n">
        <v>49</v>
      </c>
      <c r="D6" s="5" t="n">
        <v>24</v>
      </c>
      <c r="E6" s="6">
        <f>IF((C6+D6)=0,"",C6/(C6+D6)*100)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8" customWidth="1" min="4" max="4"/>
    <col width="80" customWidth="1" min="5" max="5"/>
    <col width="18" customWidth="1" min="6" max="6"/>
    <col width="12" customWidth="1" min="7" max="7"/>
    <col width="20" customWidth="1" min="8" max="8"/>
    <col width="40" customWidth="1" min="9" max="9"/>
  </cols>
  <sheetData>
    <row r="1">
      <c r="A1" s="3" t="inlineStr">
        <is>
          <t>Antigen</t>
        </is>
      </c>
      <c r="B1" s="3" t="inlineStr">
        <is>
          <t>Tool</t>
        </is>
      </c>
      <c r="C1" s="3" t="inlineStr">
        <is>
          <t>Source</t>
        </is>
      </c>
      <c r="D1" s="3" t="inlineStr">
        <is>
          <t>Kind</t>
        </is>
      </c>
      <c r="E1" s="3" t="inlineStr">
        <is>
          <t>Path</t>
        </is>
      </c>
      <c r="F1" s="3" t="inlineStr">
        <is>
          <t>Sheet</t>
        </is>
      </c>
      <c r="G1" s="3" t="inlineStr">
        <is>
          <t>Status</t>
        </is>
      </c>
      <c r="H1" s="3" t="inlineStr">
        <is>
          <t>Pairs_after_file_dedup</t>
        </is>
      </c>
      <c r="I1" s="3" t="inlineStr">
        <is>
          <t>Message</t>
        </is>
      </c>
    </row>
    <row r="2">
      <c r="A2" s="7" t="inlineStr">
        <is>
          <t>pp65</t>
        </is>
      </c>
      <c r="B2" s="7" t="inlineStr">
        <is>
          <t>REFERENCE_DATASET</t>
        </is>
      </c>
      <c r="C2" s="7" t="inlineStr"/>
      <c r="D2" s="7" t="inlineStr">
        <is>
          <t>DATASET</t>
        </is>
      </c>
      <c r="E2" s="7" t="inlineStr">
        <is>
          <t>/home/asik/Избранное/Review preparation/Контроль/Запуски тулов на pp65/pp65.xlsx</t>
        </is>
      </c>
      <c r="F2" s="7" t="inlineStr">
        <is>
          <t>Sheet1</t>
        </is>
      </c>
      <c r="G2" s="7" t="inlineStr">
        <is>
          <t>OK</t>
        </is>
      </c>
      <c r="H2" s="7" t="n">
        <v>73</v>
      </c>
      <c r="I2" s="7" t="inlineStr"/>
    </row>
    <row r="3">
      <c r="A3" s="7" t="inlineStr">
        <is>
          <t>pp65</t>
        </is>
      </c>
      <c r="B3" s="7" t="inlineStr">
        <is>
          <t>IEDB I</t>
        </is>
      </c>
      <c r="C3" s="7" t="inlineStr">
        <is>
          <t>IEDB_I_Consensus</t>
        </is>
      </c>
      <c r="D3" s="7" t="inlineStr">
        <is>
          <t>RM</t>
        </is>
      </c>
      <c r="E3" s="7" t="inlineStr">
        <is>
          <t>/home/asik/Избранное/Review preparation/Контроль/Запуски тулов на pp65/Matches MHC I/Matches IEDB_I_Consensus/RM_pp65_IEDB_I_Consensus.xlsx</t>
        </is>
      </c>
      <c r="F3" s="7" t="inlineStr">
        <is>
          <t>Union_OR</t>
        </is>
      </c>
      <c r="G3" s="7" t="inlineStr">
        <is>
          <t>OK</t>
        </is>
      </c>
      <c r="H3" s="7" t="n">
        <v>24</v>
      </c>
      <c r="I3" s="7" t="inlineStr"/>
    </row>
    <row r="4">
      <c r="A4" s="7" t="inlineStr">
        <is>
          <t>pp65</t>
        </is>
      </c>
      <c r="B4" s="7" t="inlineStr">
        <is>
          <t>IEDB I</t>
        </is>
      </c>
      <c r="C4" s="7" t="inlineStr">
        <is>
          <t>IEDB_I_Consensus</t>
        </is>
      </c>
      <c r="D4" s="7" t="inlineStr">
        <is>
          <t>UP</t>
        </is>
      </c>
      <c r="E4" s="7" t="inlineStr">
        <is>
          <t>/home/asik/Избранное/Review preparation/Контроль/Запуски тулов на pp65/Matches MHC I/Matches IEDB_I_Consensus/UP_pp65_IEDB_I_Consensus.xlsx</t>
        </is>
      </c>
      <c r="F4" s="7" t="inlineStr">
        <is>
          <t>Union_OR</t>
        </is>
      </c>
      <c r="G4" s="7" t="inlineStr">
        <is>
          <t>OK</t>
        </is>
      </c>
      <c r="H4" s="7" t="n">
        <v>1066</v>
      </c>
      <c r="I4" s="7" t="inlineStr"/>
    </row>
    <row r="5">
      <c r="A5" s="7" t="inlineStr">
        <is>
          <t>pp65</t>
        </is>
      </c>
      <c r="B5" s="7" t="inlineStr">
        <is>
          <t>IEDB I</t>
        </is>
      </c>
      <c r="C5" s="7" t="inlineStr">
        <is>
          <t>IEDB_I_NetMHCpan_4.1_BA</t>
        </is>
      </c>
      <c r="D5" s="7" t="inlineStr">
        <is>
          <t>RM</t>
        </is>
      </c>
      <c r="E5" s="7" t="inlineStr">
        <is>
          <t>/home/asik/Избранное/Review preparation/Контроль/Запуски тулов на pp65/Matches MHC I/Matches IEDB_I_NetMHCpan_4.1_BA/RM_pp65_IEDB_I_NetMHCpan_4.1_BA.xlsx</t>
        </is>
      </c>
      <c r="F5" s="7" t="inlineStr">
        <is>
          <t>Union_OR</t>
        </is>
      </c>
      <c r="G5" s="7" t="inlineStr">
        <is>
          <t>OK</t>
        </is>
      </c>
      <c r="H5" s="7" t="n">
        <v>27</v>
      </c>
      <c r="I5" s="7" t="inlineStr"/>
    </row>
    <row r="6">
      <c r="A6" s="7" t="inlineStr">
        <is>
          <t>pp65</t>
        </is>
      </c>
      <c r="B6" s="7" t="inlineStr">
        <is>
          <t>IEDB I</t>
        </is>
      </c>
      <c r="C6" s="7" t="inlineStr">
        <is>
          <t>IEDB_I_NetMHCpan_4.1_BA</t>
        </is>
      </c>
      <c r="D6" s="7" t="inlineStr">
        <is>
          <t>UP</t>
        </is>
      </c>
      <c r="E6" s="7" t="inlineStr">
        <is>
          <t>/home/asik/Избранное/Review preparation/Контроль/Запуски тулов на pp65/Matches MHC I/Matches IEDB_I_NetMHCpan_4.1_BA/UP_pp65_IEDB_I_NetMHCpan_4.1_BA.xlsx</t>
        </is>
      </c>
      <c r="F6" s="7" t="inlineStr">
        <is>
          <t>Union_OR</t>
        </is>
      </c>
      <c r="G6" s="7" t="inlineStr">
        <is>
          <t>OK</t>
        </is>
      </c>
      <c r="H6" s="7" t="n">
        <v>809</v>
      </c>
      <c r="I6" s="7" t="inlineStr"/>
    </row>
    <row r="7">
      <c r="A7" s="7" t="inlineStr">
        <is>
          <t>pp65</t>
        </is>
      </c>
      <c r="B7" s="7" t="inlineStr">
        <is>
          <t>IEDB I</t>
        </is>
      </c>
      <c r="C7" s="7" t="inlineStr">
        <is>
          <t>IEDB_I_NetMHCpan_4.1_EL</t>
        </is>
      </c>
      <c r="D7" s="7" t="inlineStr">
        <is>
          <t>RM</t>
        </is>
      </c>
      <c r="E7" s="7" t="inlineStr">
        <is>
          <t>/home/asik/Избранное/Review preparation/Контроль/Запуски тулов на pp65/Matches MHC I/Matches IEDB_I_NetMHCpan_4.1_EL/RM_pp65_IEDB_I_NetMHCpan_4.1_EL.xlsx</t>
        </is>
      </c>
      <c r="F7" s="7" t="inlineStr">
        <is>
          <t>Union_OR</t>
        </is>
      </c>
      <c r="G7" s="7" t="inlineStr">
        <is>
          <t>OK</t>
        </is>
      </c>
      <c r="H7" s="7" t="n">
        <v>30</v>
      </c>
      <c r="I7" s="7" t="inlineStr"/>
    </row>
    <row r="8">
      <c r="A8" s="7" t="inlineStr">
        <is>
          <t>pp65</t>
        </is>
      </c>
      <c r="B8" s="7" t="inlineStr">
        <is>
          <t>IEDB I</t>
        </is>
      </c>
      <c r="C8" s="7" t="inlineStr">
        <is>
          <t>IEDB_I_NetMHCpan_4.1_EL</t>
        </is>
      </c>
      <c r="D8" s="7" t="inlineStr">
        <is>
          <t>UP</t>
        </is>
      </c>
      <c r="E8" s="7" t="inlineStr">
        <is>
          <t>/home/asik/Избранное/Review preparation/Контроль/Запуски тулов на pp65/Matches MHC I/Matches IEDB_I_NetMHCpan_4.1_EL/UP_pp65_IEDB_I_NetMHCpan_4.1_EL.xlsx</t>
        </is>
      </c>
      <c r="F8" s="7" t="inlineStr">
        <is>
          <t>Union_OR</t>
        </is>
      </c>
      <c r="G8" s="7" t="inlineStr">
        <is>
          <t>OK</t>
        </is>
      </c>
      <c r="H8" s="7" t="n">
        <v>714</v>
      </c>
      <c r="I8" s="7" t="inlineStr"/>
    </row>
    <row r="9">
      <c r="A9" s="7" t="inlineStr">
        <is>
          <t>pp65</t>
        </is>
      </c>
      <c r="B9" s="7" t="inlineStr">
        <is>
          <t>NetCTL</t>
        </is>
      </c>
      <c r="C9" s="7" t="inlineStr">
        <is>
          <t>NetCTL_1.2</t>
        </is>
      </c>
      <c r="D9" s="7" t="inlineStr">
        <is>
          <t>RM</t>
        </is>
      </c>
      <c r="E9" s="7" t="inlineStr">
        <is>
          <t>/home/asik/Избранное/Review preparation/Контроль/Запуски тулов на pp65/Matches MHC I/Matches NetCTL_1.2/RM_pp65_NetCTL_1.2.xlsx</t>
        </is>
      </c>
      <c r="F9" s="7" t="inlineStr">
        <is>
          <t>Recovered Matches</t>
        </is>
      </c>
      <c r="G9" s="7" t="inlineStr">
        <is>
          <t>OK</t>
        </is>
      </c>
      <c r="H9" s="7" t="n">
        <v>18</v>
      </c>
      <c r="I9" s="7" t="inlineStr"/>
    </row>
    <row r="10">
      <c r="A10" s="7" t="inlineStr">
        <is>
          <t>pp65</t>
        </is>
      </c>
      <c r="B10" s="7" t="inlineStr">
        <is>
          <t>NetCTL</t>
        </is>
      </c>
      <c r="C10" s="7" t="inlineStr">
        <is>
          <t>NetCTL_1.2</t>
        </is>
      </c>
      <c r="D10" s="7" t="inlineStr">
        <is>
          <t>UP</t>
        </is>
      </c>
      <c r="E10" s="7" t="inlineStr">
        <is>
          <t>/home/asik/Избранное/Review preparation/Контроль/Запуски тулов на pp65/Matches MHC I/Matches NetCTL_1.2/UP_pp65_NetCTL_1.2.xlsx</t>
        </is>
      </c>
      <c r="F10" s="7" t="inlineStr">
        <is>
          <t>Unvalidated Predictions</t>
        </is>
      </c>
      <c r="G10" s="7" t="inlineStr">
        <is>
          <t>OK</t>
        </is>
      </c>
      <c r="H10" s="7" t="n">
        <v>341</v>
      </c>
      <c r="I10" s="7" t="inlineStr"/>
    </row>
    <row r="11">
      <c r="A11" s="7" t="inlineStr">
        <is>
          <t>pp65</t>
        </is>
      </c>
      <c r="B11" s="7" t="inlineStr">
        <is>
          <t>NetMHC</t>
        </is>
      </c>
      <c r="C11" s="7" t="inlineStr">
        <is>
          <t>NetMHC_4.0</t>
        </is>
      </c>
      <c r="D11" s="7" t="inlineStr">
        <is>
          <t>RM</t>
        </is>
      </c>
      <c r="E11" s="7" t="inlineStr">
        <is>
          <t>/home/asik/Избранное/Review preparation/Контроль/Запуски тулов на pp65/Matches MHC I/Matches NetMHC_4.0/RM_pp65_NetMHC_4.0.xlsx</t>
        </is>
      </c>
      <c r="F11" s="7" t="inlineStr">
        <is>
          <t>Union_OR</t>
        </is>
      </c>
      <c r="G11" s="7" t="inlineStr">
        <is>
          <t>OK</t>
        </is>
      </c>
      <c r="H11" s="7" t="n">
        <v>30</v>
      </c>
      <c r="I11" s="7" t="inlineStr"/>
    </row>
    <row r="12">
      <c r="A12" s="7" t="inlineStr">
        <is>
          <t>pp65</t>
        </is>
      </c>
      <c r="B12" s="7" t="inlineStr">
        <is>
          <t>NetMHC</t>
        </is>
      </c>
      <c r="C12" s="7" t="inlineStr">
        <is>
          <t>NetMHC_4.0</t>
        </is>
      </c>
      <c r="D12" s="7" t="inlineStr">
        <is>
          <t>UP</t>
        </is>
      </c>
      <c r="E12" s="7" t="inlineStr">
        <is>
          <t>/home/asik/Избранное/Review preparation/Контроль/Запуски тулов на pp65/Matches MHC I/Matches NetMHC_4.0/UP_pp65_NetMHC_4.0.xlsx</t>
        </is>
      </c>
      <c r="F12" s="7" t="inlineStr">
        <is>
          <t>Union_OR</t>
        </is>
      </c>
      <c r="G12" s="7" t="inlineStr">
        <is>
          <t>OK</t>
        </is>
      </c>
      <c r="H12" s="7" t="n">
        <v>1864</v>
      </c>
      <c r="I12" s="7" t="inlineStr"/>
    </row>
    <row r="13">
      <c r="A13" s="7" t="inlineStr">
        <is>
          <t>pp65</t>
        </is>
      </c>
      <c r="B13" s="7" t="inlineStr">
        <is>
          <t>NetMHCpan</t>
        </is>
      </c>
      <c r="C13" s="7" t="inlineStr">
        <is>
          <t>NetMHCpan_4.1</t>
        </is>
      </c>
      <c r="D13" s="7" t="inlineStr">
        <is>
          <t>RM</t>
        </is>
      </c>
      <c r="E13" s="7" t="inlineStr">
        <is>
          <t>/home/asik/Избранное/Review preparation/Контроль/Запуски тулов на pp65/Matches MHC I/Matches NetMHCpan_4.1/RM_pp65_NetMHCpan_4.1.xlsx</t>
        </is>
      </c>
      <c r="F13" s="7" t="inlineStr">
        <is>
          <t>Union_OR</t>
        </is>
      </c>
      <c r="G13" s="7" t="inlineStr">
        <is>
          <t>OK</t>
        </is>
      </c>
      <c r="H13" s="7" t="n">
        <v>49</v>
      </c>
      <c r="I13" s="7" t="inlineStr"/>
    </row>
    <row r="14">
      <c r="A14" s="7" t="inlineStr">
        <is>
          <t>pp65</t>
        </is>
      </c>
      <c r="B14" s="7" t="inlineStr">
        <is>
          <t>NetMHCpan</t>
        </is>
      </c>
      <c r="C14" s="7" t="inlineStr">
        <is>
          <t>NetMHCpan_4.1</t>
        </is>
      </c>
      <c r="D14" s="7" t="inlineStr">
        <is>
          <t>UP</t>
        </is>
      </c>
      <c r="E14" s="7" t="inlineStr">
        <is>
          <t>/home/asik/Избранное/Review preparation/Контроль/Запуски тулов на pp65/Matches MHC I/Matches NetMHCpan_4.1/UP_pp65_NetMHCpan_4.1.xlsx</t>
        </is>
      </c>
      <c r="F14" s="7" t="inlineStr">
        <is>
          <t>Union_OR</t>
        </is>
      </c>
      <c r="G14" s="7" t="inlineStr">
        <is>
          <t>OK</t>
        </is>
      </c>
      <c r="H14" s="7" t="n">
        <v>2568</v>
      </c>
      <c r="I1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2026-09-19T20:58:56Z</dcterms:created>
  <dcterms:modified xmlns:dcterms="http://purl.org/dc/terms/" xmlns:xsi="http://www.w3.org/2001/XMLSchema-instance" xsi:type="dcterms:W3CDTF">2026-09-19T20:58:56Z</dcterms:modified>
</cp:coreProperties>
</file>